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6f60d9854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3b38064ca2d54996"/>
    <x:sheet xmlns:r="http://schemas.openxmlformats.org/officeDocument/2006/relationships" name="Datos" sheetId="2" r:id="R67830905e58b4c50"/>
    <x:sheet xmlns:r="http://schemas.openxmlformats.org/officeDocument/2006/relationships" name="Control_Calidad" sheetId="3" r:id="Red764317b26e4d35"/>
    <x:sheet xmlns:r="http://schemas.openxmlformats.org/officeDocument/2006/relationships" name="Pendientes" sheetId="4" r:id="R1975fdd1833e426c"/>
    <x:sheet xmlns:r="http://schemas.openxmlformats.org/officeDocument/2006/relationships" name="Catálogos" sheetId="5" r:id="R357146c7d9d64f47"/>
    <x:sheet xmlns:r="http://schemas.openxmlformats.org/officeDocument/2006/relationships" name="Diccionario" sheetId="6" r:id="Re903ace39f8f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.00"/>
    <x:numFmt numFmtId="203" formatCode="&quot;$&quot;#,##0.00"/>
    <x:numFmt numFmtId="204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03A4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A4D"/>
      </x:patternFill>
    </x:fill>
    <x:fill>
      <x:patternFill patternType="solid">
        <x:fgColor rgb="FFDCE6EC"/>
      </x:patternFill>
    </x:fill>
    <x:fill>
      <x:patternFill patternType="solid">
        <x:fgColor rgb="FF2F75B5"/>
      </x:patternFill>
    </x:fill>
    <x:fill>
      <x:patternFill patternType="solid">
        <x:fgColor rgb="FF1F6D4E"/>
      </x:patternFill>
    </x:fill>
    <x:fill>
      <x:patternFill patternType="solid">
        <x:fgColor rgb="FF66737C"/>
      </x:patternFill>
    </x:fill>
    <x:fill>
      <x:patternFill patternType="solid">
        <x:fgColor rgb="FFEEF1F3"/>
      </x:patternFill>
    </x:fill>
    <x:fill>
      <x:patternFill patternType="solid">
        <x:fgColor rgb="FF8B5A2B"/>
      </x:patternFill>
    </x:fill>
  </x:fills>
  <x:borders count="4">
    <x:border/>
    <x:border>
      <x:left style="thin">
        <x:color rgb="FF203A4D"/>
      </x:left>
      <x:top style="thin">
        <x:color rgb="FF203A4D"/>
      </x:top>
      <x:bottom style="thin">
        <x:color rgb="FF203A4D"/>
      </x:bottom>
    </x:border>
    <x:border>
      <x:top style="thin">
        <x:color rgb="FF203A4D"/>
      </x:top>
      <x:bottom style="thin">
        <x:color rgb="FF203A4D"/>
      </x:bottom>
    </x:border>
    <x:border>
      <x:right style="thin">
        <x:color rgb="FF203A4D"/>
      </x:right>
      <x:top style="thin">
        <x:color rgb="FF203A4D"/>
      </x:top>
      <x:bottom style="thin">
        <x:color rgb="FF203A4D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203" fontId="0" fillId="7" borderId="0" xfId="0" applyNumberFormat="1" applyFont="1" applyFill="1" applyBorder="1"/>
    <x:xf numFmtId="202" fontId="0" fillId="7" borderId="0" xfId="0" applyNumberFormat="1" applyFont="1" applyFill="1" applyBorder="1"/>
    <x:xf numFmtId="204" fontId="0" fillId="7" borderId="0" xfId="0" applyNumberFormat="1" applyFont="1" applyFill="1" applyBorder="1"/>
    <x:xf numFmtId="0" fontId="3" fillId="2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1F6D4E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aa4b862524f8c" /><Relationship Type="http://schemas.openxmlformats.org/officeDocument/2006/relationships/theme" Target="/xl/theme/theme1.xml" Id="R1cceba9c00e14f56" /><Relationship Type="http://schemas.openxmlformats.org/officeDocument/2006/relationships/sharedStrings" Target="/xl/sharedStrings.xml" Id="Re6df0f3e80904e6d" /><Relationship Type="http://schemas.openxmlformats.org/officeDocument/2006/relationships/worksheet" Target="/xl/worksheets/sheet1.xml" Id="R3b38064ca2d54996" /><Relationship Type="http://schemas.openxmlformats.org/officeDocument/2006/relationships/worksheet" Target="/xl/worksheets/sheet2.xml" Id="R67830905e58b4c50" /><Relationship Type="http://schemas.openxmlformats.org/officeDocument/2006/relationships/worksheet" Target="/xl/worksheets/sheet3.xml" Id="Red764317b26e4d35" /><Relationship Type="http://schemas.openxmlformats.org/officeDocument/2006/relationships/worksheet" Target="/xl/worksheets/sheet4.xml" Id="R1975fdd1833e426c" /><Relationship Type="http://schemas.openxmlformats.org/officeDocument/2006/relationships/worksheet" Target="/xl/worksheets/sheet5.xml" Id="R357146c7d9d64f47" /><Relationship Type="http://schemas.openxmlformats.org/officeDocument/2006/relationships/worksheet" Target="/xl/worksheets/sheet6.xml" Id="Re903ace39f8f43c3" /></Relationships>
</file>

<file path=xl/tables/table1.xml><?xml version="1.0" encoding="utf-8"?>
<x:table xmlns:x="http://schemas.openxmlformats.org/spreadsheetml/2006/main" id="1" name="TblLogisticaMaestra" displayName="TblLogisticaMaestra" ref="A1:BU51" headerRowCount="1" totalsRowCount="0" totalsRowShown="0">
  <x:tableColumns count="73">
    <x:tableColumn id="1" name="movimiento_id"/>
    <x:tableColumn id="2" name="fecha"/>
    <x:tableColumn id="3" name="anio"/>
    <x:tableColumn id="4" name="mes"/>
    <x:tableColumn id="5" name="semana"/>
    <x:tableColumn id="6" name="renglon_id"/>
    <x:tableColumn id="7" name="embarque_id"/>
    <x:tableColumn id="8" name="codigo"/>
    <x:tableColumn id="9" name="producto"/>
    <x:tableColumn id="10" name="categoria"/>
    <x:tableColumn id="11" name="sucursal"/>
    <x:tableColumn id="12" name="tipo_compra"/>
    <x:tableColumn id="13" name="pais_origen"/>
    <x:tableColumn id="14" name="proveedor"/>
    <x:tableColumn id="15" name="factura"/>
    <x:tableColumn id="16" name="orden_compra"/>
    <x:tableColumn id="17" name="kilos"/>
    <x:tableColumn id="18" name="valor_importado"/>
    <x:tableColumn id="19" name="moneda"/>
    <x:tableColumn id="20" name="tipo_cambio"/>
    <x:tableColumn id="21" name="fecha_arribo_estimada"/>
    <x:tableColumn id="22" name="fecha_arribo"/>
    <x:tableColumn id="23" name="dias_transito"/>
    <x:tableColumn id="24" name="naviera"/>
    <x:tableColumn id="25" name="via"/>
    <x:tableColumn id="26" name="aduana"/>
    <x:tableColumn id="27" name="agente_aduanal"/>
    <x:tableColumn id="28" name="fecha_entrada_aduana"/>
    <x:tableColumn id="29" name="fecha_liberacion_aduana"/>
    <x:tableColumn id="30" name="dias_en_aduana"/>
    <x:tableColumn id="31" name="fraccion_arancelaria"/>
    <x:tableColumn id="32" name="incoterm"/>
    <x:tableColumn id="33" name="dias_credito_proveedor"/>
    <x:tableColumn id="34" name="fecha_limite_pago"/>
    <x:tableColumn id="35" name="inspeccion"/>
    <x:tableColumn id="36" name="estatus_pago"/>
    <x:tableColumn id="37" name="estatus_embarque"/>
    <x:tableColumn id="38" name="estatus_documental"/>
    <x:tableColumn id="39" name="documentos_pendientes"/>
    <x:tableColumn id="40" name="responsable"/>
    <x:tableColumn id="41" name="pedimento"/>
    <x:tableColumn id="42" name="contenedor"/>
    <x:tableColumn id="43" name="demoras_dias"/>
    <x:tableColumn id="44" name="monto_pagado"/>
    <x:tableColumn id="45" name="saldo_pendiente"/>
    <x:tableColumn id="46" name="gasto_logistico"/>
    <x:tableColumn id="47" name="costo_flete"/>
    <x:tableColumn id="48" name="costo_aduanal"/>
    <x:tableColumn id="49" name="costo_seguro"/>
    <x:tableColumn id="50" name="costo_demoras"/>
    <x:tableColumn id="51" name="costo_total"/>
    <x:tableColumn id="52" name="costo_final_kg"/>
    <x:tableColumn id="53" name="precio_venta"/>
    <x:tableColumn id="54" name="ventas"/>
    <x:tableColumn id="55" name="ganancia"/>
    <x:tableColumn id="56" name="margen_por_kg"/>
    <x:tableColumn id="57" name="margen_pct"/>
    <x:tableColumn id="58" name="temperatura_salida"/>
    <x:tableColumn id="59" name="temperatura_llegada"/>
    <x:tableColumn id="60" name="incidencia"/>
    <x:tableColumn id="61" name="latitud"/>
    <x:tableColumn id="62" name="longitud"/>
    <x:tableColumn id="63" name="completitud_pct"/>
    <x:tableColumn id="64" name="alerta_calidad"/>
    <x:tableColumn id="65" name="almacen"/>
    <x:tableColumn id="66" name="linea"/>
    <x:tableColumn id="67" name="sublinea"/>
    <x:tableColumn id="68" name="subsublínea"/>
    <x:tableColumn id="69" name="cantidad"/>
    <x:tableColumn id="70" name="unidad"/>
    <x:tableColumn id="71" name="factor"/>
    <x:tableColumn id="72" name="precio_unitario"/>
    <x:tableColumn id="73" name="total_comp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endientesLogistica" displayName="TblPendientesLogistica" ref="A1:I51" headerRowCount="1" totalsRowCount="0" totalsRowShown="0">
  <x:tableColumns count="9">
    <x:tableColumn id="1" name="movimiento_id"/>
    <x:tableColumn id="2" name="fecha"/>
    <x:tableColumn id="3" name="embarque_id"/>
    <x:tableColumn id="4" name="codigo"/>
    <x:tableColumn id="5" name="producto"/>
    <x:tableColumn id="6" name="proveedor"/>
    <x:tableColumn id="7" name="pais_origen"/>
    <x:tableColumn id="8" name="campos_pendientes"/>
    <x:tableColumn id="9" name="cantidad_pendien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53687d6d8342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430b0226cd447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1" hidden="0" customWidth="1"/>
  </x:cols>
  <x:sheetData>
    <x:row r="1" ht="32" customHeight="1">
      <x:c r="A1" s="2" t="str">
        <x:v>Base maestra de Logística Internacional · julio 2026</x:v>
      </x:c>
      <x:c r="B1" s="2"/>
      <x:c r="C1" s="2"/>
      <x:c r="D1" s="2"/>
      <x:c r="E1" s="2"/>
      <x:c r="F1" s="2"/>
    </x:row>
    <x:row r="3">
      <x:c r="A3" s="7" t="str">
        <x:v>Periodo cargado</x:v>
      </x:c>
      <x:c r="B3" s="8" t="str">
        <x:v>1 al 31 de julio de 2026</x:v>
      </x:c>
    </x:row>
    <x:row r="4">
      <x:c r="A4" s="7" t="str">
        <x:v>Filas internacionales</x:v>
      </x:c>
      <x:c r="B4" s="8" t="n">
        <x:v>50</x:v>
      </x:c>
    </x:row>
    <x:row r="5">
      <x:c r="A5" s="7" t="str">
        <x:v>Grano</x:v>
      </x:c>
      <x:c r="B5" s="8" t="str">
        <x:v>Una fila por movimiento de producto dentro de un embarque.</x:v>
      </x:c>
    </x:row>
    <x:row r="6">
      <x:c r="A6" s="7" t="str">
        <x:v>Llave recomendada</x:v>
      </x:c>
      <x:c r="B6" s="8" t="str">
        <x:v>movimiento_id. No uses solo embarque_id: una carga puede contener varios productos.</x:v>
      </x:c>
    </x:row>
    <x:row r="7">
      <x:c r="A7" s="7" t="str">
        <x:v>Cómo crecer la base</x:v>
      </x:c>
      <x:c r="B7" s="8" t="str">
        <x:v>Agrega las filas de cada mes debajo de la tabla Datos, sin cambiar encabezados. El sistema filtra por año, mes, semana y día usando fecha.</x:v>
      </x:c>
    </x:row>
    <x:row r="8">
      <x:c r="A8" s="7" t="str">
        <x:v>Archivo fuente</x:v>
      </x:c>
      <x:c r="B8" s="8" t="str">
        <x:v>internacional.xlsx. internacional2.xlsx queda solo como respaldo y no debe cargarse junto con esta base.</x:v>
      </x:c>
    </x:row>
    <x:row r="9">
      <x:c r="A9" s="8"/>
      <x:c r="B9" s="8"/>
    </x:row>
    <x:row r="10">
      <x:c r="A10" s="9" t="str">
        <x:v>Regla</x:v>
      </x:c>
      <x:c r="B10" s="9" t="str">
        <x:v>Aplicación</x:v>
      </x:c>
    </x:row>
    <x:row r="11">
      <x:c r="A11" s="8" t="str">
        <x:v>No inventar información</x:v>
      </x:c>
      <x:c r="B11" s="8" t="str">
        <x:v>Los campos faltantes permanecen vacíos y aparecen en Control_Calidad y Pendientes.</x:v>
      </x:c>
    </x:row>
    <x:row r="12">
      <x:c r="A12" s="8" t="str">
        <x:v>Fechas</x:v>
      </x:c>
      <x:c r="B12" s="8" t="str">
        <x:v>Captura fechas reales de Excel. La fecha de salida alimenta los filtros de periodo.</x:v>
      </x:c>
    </x:row>
    <x:row r="13">
      <x:c r="A13" s="8" t="str">
        <x:v>Estados Unidos</x:v>
      </x:c>
      <x:c r="B13" s="8" t="str">
        <x:v>inspeccion debe decir Con inspección o Sin inspección.</x:v>
      </x:c>
    </x:row>
    <x:row r="14">
      <x:c r="A14" s="8" t="str">
        <x:v>Otros países</x:v>
      </x:c>
      <x:c r="B14" s="8" t="str">
        <x:v>inspeccion debe decir No aplica.</x:v>
      </x:c>
    </x:row>
    <x:row r="15">
      <x:c r="A15" s="8" t="str">
        <x:v>Identificadores</x:v>
      </x:c>
      <x:c r="B15" s="8" t="str">
        <x:v>embarque_id, factura, orden_compra, pedimento y contenedor deben tratarse como texto para conservar ceros.</x:v>
      </x:c>
    </x:row>
    <x:row r="16">
      <x:c r="A16" s="8" t="str">
        <x:v>Campos calculados</x:v>
      </x:c>
      <x:c r="B16" s="8" t="str">
        <x:v>Las columnas grises se calculan con fórmulas. No pegues valores encima.</x:v>
      </x:c>
    </x:row>
    <x:row r="17">
      <x:c r="A17" s="8" t="str">
        <x:v>Carga al sistema</x:v>
      </x:c>
      <x:c r="B17" s="8" t="str">
        <x:v>Guarda el archivo y súbelo en Logística. El sistema reconoce la hoja Datos.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13" hidden="0" customWidth="1"/>
    <x:col min="14" max="14" width="12" hidden="0" customWidth="1"/>
    <x:col min="15" max="15" width="12" hidden="0" customWidth="1"/>
    <x:col min="16" max="16" width="14" hidden="0" customWidth="1"/>
    <x:col min="17" max="17" width="12" hidden="0" customWidth="1"/>
    <x:col min="18" max="18" width="17" hidden="0" customWidth="1"/>
    <x:col min="19" max="19" width="12" hidden="0" customWidth="1"/>
    <x:col min="20" max="20" width="13" hidden="0" customWidth="1"/>
    <x:col min="21" max="21" width="23" hidden="0" customWidth="1"/>
    <x:col min="22" max="22" width="14" hidden="0" customWidth="1"/>
    <x:col min="23" max="23" width="15" hidden="0" customWidth="1"/>
    <x:col min="24" max="24" width="12" hidden="0" customWidth="1"/>
    <x:col min="25" max="25" width="12" hidden="0" customWidth="1"/>
    <x:col min="26" max="26" width="12" hidden="0" customWidth="1"/>
    <x:col min="27" max="27" width="16" hidden="0" customWidth="1"/>
    <x:col min="28" max="28" width="22" hidden="0" customWidth="1"/>
    <x:col min="29" max="29" width="25" hidden="0" customWidth="1"/>
    <x:col min="30" max="30" width="16" hidden="0" customWidth="1"/>
    <x:col min="31" max="31" width="22" hidden="0" customWidth="1"/>
    <x:col min="32" max="32" width="12" hidden="0" customWidth="1"/>
    <x:col min="33" max="33" width="24" hidden="0" customWidth="1"/>
    <x:col min="34" max="34" width="19" hidden="0" customWidth="1"/>
    <x:col min="35" max="35" width="12" hidden="0" customWidth="1"/>
    <x:col min="36" max="36" width="14" hidden="0" customWidth="1"/>
    <x:col min="37" max="37" width="18" hidden="0" customWidth="1"/>
    <x:col min="38" max="38" width="20" hidden="0" customWidth="1"/>
    <x:col min="39" max="39" width="23" hidden="0" customWidth="1"/>
    <x:col min="40" max="40" width="13" hidden="0" customWidth="1"/>
    <x:col min="41" max="41" width="12" hidden="0" customWidth="1"/>
    <x:col min="42" max="42" width="12" hidden="0" customWidth="1"/>
    <x:col min="43" max="43" width="14" hidden="0" customWidth="1"/>
    <x:col min="44" max="44" width="14" hidden="0" customWidth="1"/>
    <x:col min="45" max="45" width="17" hidden="0" customWidth="1"/>
    <x:col min="46" max="46" width="17" hidden="0" customWidth="1"/>
    <x:col min="47" max="47" width="13" hidden="0" customWidth="1"/>
    <x:col min="48" max="48" width="15" hidden="0" customWidth="1"/>
    <x:col min="49" max="49" width="14" hidden="0" customWidth="1"/>
    <x:col min="50" max="50" width="15" hidden="0" customWidth="1"/>
    <x:col min="51" max="51" width="13" hidden="0" customWidth="1"/>
    <x:col min="52" max="52" width="16" hidden="0" customWidth="1"/>
    <x:col min="53" max="53" width="14" hidden="0" customWidth="1"/>
    <x:col min="54" max="54" width="12" hidden="0" customWidth="1"/>
    <x:col min="55" max="55" width="12" hidden="0" customWidth="1"/>
    <x:col min="56" max="56" width="15" hidden="0" customWidth="1"/>
    <x:col min="57" max="57" width="12" hidden="0" customWidth="1"/>
    <x:col min="58" max="58" width="20" hidden="0" customWidth="1"/>
    <x:col min="59" max="59" width="21" hidden="0" customWidth="1"/>
    <x:col min="60" max="60" width="12" hidden="0" customWidth="1"/>
    <x:col min="61" max="61" width="12" hidden="0" customWidth="1"/>
    <x:col min="62" max="62" width="12" hidden="0" customWidth="1"/>
    <x:col min="63" max="63" width="17" hidden="0" customWidth="1"/>
    <x:col min="64" max="64" width="16" hidden="0" customWidth="1"/>
    <x:col min="65" max="65" width="12" hidden="0" customWidth="1"/>
    <x:col min="66" max="66" width="12" hidden="0" customWidth="1"/>
    <x:col min="67" max="67" width="12" hidden="0" customWidth="1"/>
    <x:col min="68" max="68" width="13" hidden="0" customWidth="1"/>
    <x:col min="69" max="69" width="12" hidden="0" customWidth="1"/>
    <x:col min="70" max="70" width="12" hidden="0" customWidth="1"/>
    <x:col min="71" max="71" width="12" hidden="0" customWidth="1"/>
    <x:col min="72" max="72" width="17" hidden="0" customWidth="1"/>
    <x:col min="73" max="73" width="14" hidden="0" customWidth="1"/>
  </x:cols>
  <x:sheetData>
    <x:row r="1" ht="42" customHeight="1">
      <x:c r="A1" s="21" t="str">
        <x:v>movimiento_id</x:v>
      </x:c>
      <x:c r="B1" s="22" t="str">
        <x:v>fecha</x:v>
      </x:c>
      <x:c r="C1" s="23" t="str">
        <x:v>anio</x:v>
      </x:c>
      <x:c r="D1" s="23" t="str">
        <x:v>mes</x:v>
      </x:c>
      <x:c r="E1" s="23" t="str">
        <x:v>semana</x:v>
      </x:c>
      <x:c r="F1" s="19" t="str">
        <x:v>renglon_id</x:v>
      </x:c>
      <x:c r="G1" s="22" t="str">
        <x:v>embarque_id</x:v>
      </x:c>
      <x:c r="H1" s="22" t="str">
        <x:v>codigo</x:v>
      </x:c>
      <x:c r="I1" s="22" t="str">
        <x:v>producto</x:v>
      </x:c>
      <x:c r="J1" s="19" t="str">
        <x:v>categoria</x:v>
      </x:c>
      <x:c r="K1" s="22" t="str">
        <x:v>sucursal</x:v>
      </x:c>
      <x:c r="L1" s="22" t="str">
        <x:v>tipo_compra</x:v>
      </x:c>
      <x:c r="M1" s="22" t="str">
        <x:v>pais_origen</x:v>
      </x:c>
      <x:c r="N1" s="22" t="str">
        <x:v>proveedor</x:v>
      </x:c>
      <x:c r="O1" s="19" t="str">
        <x:v>factura</x:v>
      </x:c>
      <x:c r="P1" s="19" t="str">
        <x:v>orden_compra</x:v>
      </x:c>
      <x:c r="Q1" s="22" t="str">
        <x:v>kilos</x:v>
      </x:c>
      <x:c r="R1" s="22" t="str">
        <x:v>valor_importado</x:v>
      </x:c>
      <x:c r="S1" s="22" t="str">
        <x:v>moneda</x:v>
      </x:c>
      <x:c r="T1" s="19" t="str">
        <x:v>tipo_cambio</x:v>
      </x:c>
      <x:c r="U1" s="19" t="str">
        <x:v>fecha_arribo_estimada</x:v>
      </x:c>
      <x:c r="V1" s="19" t="str">
        <x:v>fecha_arribo</x:v>
      </x:c>
      <x:c r="W1" s="23" t="str">
        <x:v>dias_transito</x:v>
      </x:c>
      <x:c r="X1" s="19" t="str">
        <x:v>naviera</x:v>
      </x:c>
      <x:c r="Y1" s="22" t="str">
        <x:v>via</x:v>
      </x:c>
      <x:c r="Z1" s="19" t="str">
        <x:v>aduana</x:v>
      </x:c>
      <x:c r="AA1" s="19" t="str">
        <x:v>agente_aduanal</x:v>
      </x:c>
      <x:c r="AB1" s="19" t="str">
        <x:v>fecha_entrada_aduana</x:v>
      </x:c>
      <x:c r="AC1" s="19" t="str">
        <x:v>fecha_liberacion_aduana</x:v>
      </x:c>
      <x:c r="AD1" s="23" t="str">
        <x:v>dias_en_aduana</x:v>
      </x:c>
      <x:c r="AE1" s="22" t="str">
        <x:v>fraccion_arancelaria</x:v>
      </x:c>
      <x:c r="AF1" s="22" t="str">
        <x:v>incoterm</x:v>
      </x:c>
      <x:c r="AG1" s="19" t="str">
        <x:v>dias_credito_proveedor</x:v>
      </x:c>
      <x:c r="AH1" s="23" t="str">
        <x:v>fecha_limite_pago</x:v>
      </x:c>
      <x:c r="AI1" s="22" t="str">
        <x:v>inspeccion</x:v>
      </x:c>
      <x:c r="AJ1" s="19" t="str">
        <x:v>estatus_pago</x:v>
      </x:c>
      <x:c r="AK1" s="22" t="str">
        <x:v>estatus_embarque</x:v>
      </x:c>
      <x:c r="AL1" s="19" t="str">
        <x:v>estatus_documental</x:v>
      </x:c>
      <x:c r="AM1" s="19" t="str">
        <x:v>documentos_pendientes</x:v>
      </x:c>
      <x:c r="AN1" s="19" t="str">
        <x:v>responsable</x:v>
      </x:c>
      <x:c r="AO1" s="19" t="str">
        <x:v>pedimento</x:v>
      </x:c>
      <x:c r="AP1" s="19" t="str">
        <x:v>contenedor</x:v>
      </x:c>
      <x:c r="AQ1" s="19" t="str">
        <x:v>demoras_dias</x:v>
      </x:c>
      <x:c r="AR1" s="19" t="str">
        <x:v>monto_pagado</x:v>
      </x:c>
      <x:c r="AS1" s="23" t="str">
        <x:v>saldo_pendiente</x:v>
      </x:c>
      <x:c r="AT1" s="19" t="str">
        <x:v>gasto_logistico</x:v>
      </x:c>
      <x:c r="AU1" s="19" t="str">
        <x:v>costo_flete</x:v>
      </x:c>
      <x:c r="AV1" s="19" t="str">
        <x:v>costo_aduanal</x:v>
      </x:c>
      <x:c r="AW1" s="19" t="str">
        <x:v>costo_seguro</x:v>
      </x:c>
      <x:c r="AX1" s="19" t="str">
        <x:v>costo_demoras</x:v>
      </x:c>
      <x:c r="AY1" s="23" t="str">
        <x:v>costo_total</x:v>
      </x:c>
      <x:c r="AZ1" s="23" t="str">
        <x:v>costo_final_kg</x:v>
      </x:c>
      <x:c r="BA1" s="19" t="str">
        <x:v>precio_venta</x:v>
      </x:c>
      <x:c r="BB1" s="23" t="str">
        <x:v>ventas</x:v>
      </x:c>
      <x:c r="BC1" s="23" t="str">
        <x:v>ganancia</x:v>
      </x:c>
      <x:c r="BD1" s="23" t="str">
        <x:v>margen_por_kg</x:v>
      </x:c>
      <x:c r="BE1" s="23" t="str">
        <x:v>margen_pct</x:v>
      </x:c>
      <x:c r="BF1" s="19" t="str">
        <x:v>temperatura_salida</x:v>
      </x:c>
      <x:c r="BG1" s="19" t="str">
        <x:v>temperatura_llegada</x:v>
      </x:c>
      <x:c r="BH1" s="19" t="str">
        <x:v>incidencia</x:v>
      </x:c>
      <x:c r="BI1" s="19" t="str">
        <x:v>latitud</x:v>
      </x:c>
      <x:c r="BJ1" s="19" t="str">
        <x:v>longitud</x:v>
      </x:c>
      <x:c r="BK1" s="23" t="str">
        <x:v>completitud_pct</x:v>
      </x:c>
      <x:c r="BL1" s="23" t="str">
        <x:v>alerta_calidad</x:v>
      </x:c>
      <x:c r="BM1" s="19" t="str">
        <x:v>almacen</x:v>
      </x:c>
      <x:c r="BN1" s="19" t="str">
        <x:v>linea</x:v>
      </x:c>
      <x:c r="BO1" s="19" t="str">
        <x:v>sublinea</x:v>
      </x:c>
      <x:c r="BP1" s="19" t="str">
        <x:v>subsublínea</x:v>
      </x:c>
      <x:c r="BQ1" s="19" t="str">
        <x:v>cantidad</x:v>
      </x:c>
      <x:c r="BR1" s="19" t="str">
        <x:v>unidad</x:v>
      </x:c>
      <x:c r="BS1" s="19" t="str">
        <x:v>factor</x:v>
      </x:c>
      <x:c r="BT1" s="19" t="str">
        <x:v>precio_unitario</x:v>
      </x:c>
      <x:c r="BU1" s="20" t="str">
        <x:v>total_compra</x:v>
      </x:c>
    </x:row>
    <x:row r="2">
      <x:c r="A2" s="10" t="str">
        <x:v>LOG-202607-0001</x:v>
      </x:c>
      <x:c r="B2" s="11" t="n">
        <x:v>46234</x:v>
      </x:c>
      <x:c r="C2" s="24" t="n">
        <x:f>YEAR(B2)</x:f>
        <x:v>2026</x:v>
      </x:c>
      <x:c r="D2" s="24" t="str">
        <x:f>TEXT(B2,"yyyy-mm")</x:f>
        <x:v>2026-07</x:v>
      </x:c>
      <x:c r="E2" s="24" t="n">
        <x:f>WEEKNUM(B2,2)</x:f>
        <x:v>31</x:v>
      </x:c>
      <x:c r="F2" s="10" t="str">
        <x:v>ORIG-2</x:v>
      </x:c>
      <x:c r="G2" s="10" t="str">
        <x:v>6195</x:v>
      </x:c>
      <x:c r="H2" s="10" t="str">
        <x:v>9064</x:v>
      </x:c>
      <x:c r="I2" t="str">
        <x:v>Alitas de Pollo Jumbo (Cj)</x:v>
      </x:c>
      <x:c r="J2" t="str">
        <x:v>Ave congelada</x:v>
      </x:c>
      <x:c r="K2" t="str">
        <x:v>003 Granja Calle 7</x:v>
      </x:c>
      <x:c r="L2" t="str">
        <x:v>Internacional</x:v>
      </x:c>
      <x:c r="M2" t="str">
        <x:v>Estados Unidos</x:v>
      </x:c>
      <x:c r="N2" t="str">
        <x:v>ALPINE FOODS</x:v>
      </x:c>
      <x:c r="O2" s="10" t="str">
        <x:v>32631</x:v>
      </x:c>
      <x:c r="P2" s="10" t="str">
        <x:v>5473</x:v>
      </x:c>
      <x:c r="Q2" s="12" t="n">
        <x:v>18143.88</x:v>
      </x:c>
      <x:c r="R2" s="13" t="n">
        <x:v>340181.52</x:v>
      </x:c>
      <x:c r="S2" t="str">
        <x:v>MXN</x:v>
      </x:c>
      <x:c r="T2" s="12" t="n">
        <x:v>1</x:v>
      </x:c>
      <x:c r="U2" s="11"/>
      <x:c r="V2" s="11"/>
      <x:c r="W2" s="24" t="str">
        <x:f>IF(AND(B2&lt;&gt;"",V2&lt;&gt;""),V2-B2,"")</x:f>
      </x:c>
      <x:c r="X2"/>
      <x:c r="Y2" t="str">
        <x:v>Terrestre</x:v>
      </x:c>
      <x:c r="Z2"/>
      <x:c r="AA2"/>
      <x:c r="AB2" s="11"/>
      <x:c r="AC2" s="11"/>
      <x:c r="AD2" s="24" t="str">
        <x:f>IF(AND(AB2&lt;&gt;"",AC2&lt;&gt;""),AC2-AB2,"")</x:f>
      </x:c>
      <x:c r="AE2" s="10"/>
      <x:c r="AF2"/>
      <x:c r="AG2"/>
      <x:c r="AH2" s="25" t="str">
        <x:f>IF(AND(B2&lt;&gt;"",AG2&lt;&gt;""),B2+AG2,"")</x:f>
      </x:c>
      <x:c r="AI2"/>
      <x:c r="AJ2"/>
      <x:c r="AK2" t="str">
        <x:v>Recibido</x:v>
      </x:c>
      <x:c r="AL2" t="str">
        <x:v>Completo</x:v>
      </x:c>
      <x:c r="AM2"/>
      <x:c r="AN2" t="str">
        <x:v>Logística</x:v>
      </x:c>
      <x:c r="AO2" s="10" t="str">
        <x:v>26 24 1686 6029699</x:v>
      </x:c>
      <x:c r="AP2" s="10" t="str">
        <x:v>PG48681/26</x:v>
      </x:c>
      <x:c r="AQ2"/>
      <x:c r="AR2" s="13"/>
      <x:c r="AS2" s="26" t="n">
        <x:f>IF(R2&lt;&gt;"",MAX(0,R2-AR2),"")</x:f>
        <x:v>340181.52</x:v>
      </x:c>
      <x:c r="AT2" s="13" t="n">
        <x:v>40610.2</x:v>
      </x:c>
      <x:c r="AU2" s="13"/>
      <x:c r="AV2" s="13"/>
      <x:c r="AW2" s="13"/>
      <x:c r="AX2" s="13"/>
      <x:c r="AY2" s="26" t="n">
        <x:f>IF(R2&lt;&gt;"",R2+AT2,"")</x:f>
        <x:v>380791.72000000003</x:v>
      </x:c>
      <x:c r="AZ2" s="27" t="n">
        <x:f>IF(Q2&gt;0,AY2/Q2,"")</x:f>
        <x:v>20.98733677691872</x:v>
      </x:c>
      <x:c r="BA2" s="13" t="n">
        <x:v>23.5</x:v>
      </x:c>
      <x:c r="BB2" s="26" t="n">
        <x:f>IF(AND(BA2&lt;&gt;"",Q2&gt;0),BA2*Q2,"")</x:f>
        <x:v>426381.18000000005</x:v>
      </x:c>
      <x:c r="BC2" s="26" t="n">
        <x:f>IF(AND(BB2&lt;&gt;"",AY2&lt;&gt;""),BB2-AY2,"")</x:f>
        <x:v>45589.46000000002</x:v>
      </x:c>
      <x:c r="BD2" s="26" t="n">
        <x:f>IF(AND(BA2&lt;&gt;"",AZ2&lt;&gt;""),BA2-AZ2,"")</x:f>
        <x:v>2.5126632230812795</x:v>
      </x:c>
      <x:c r="BE2" s="28" t="n">
        <x:f>IF(BB2&gt;0,BC2/BB2,"")</x:f>
        <x:v>0.10692183928005457</x:v>
      </x:c>
      <x:c r="BF2" s="12"/>
      <x:c r="BG2" s="12"/>
      <x:c r="BH2"/>
      <x:c r="BI2" s="12"/>
      <x:c r="BJ2" s="12"/>
      <x:c r="BK2" s="28" t="n">
        <x:f>COUNTA(B2,G2,H2,I2,K2,M2,N2,Q2,R2,Y2,AE2,AF2,AI2,AK2)/14</x:f>
        <x:v>0.7857142857142857</x:v>
      </x:c>
      <x:c r="BL2" s="24" t="str">
        <x:f>IF(M2="","Falta país",IF(AE2="","Falta fracción",IF(AF2="","Falta Incoterm",IF(W2="","Falta tránsito",IF(X2="","Falta naviera",IF(AND(M2="Estados Unidos",AI2=""),"Falta inspección EE. UU.","Completo"))))))</x:f>
        <x:v>Falta fracción</x:v>
      </x:c>
      <x:c r="BM2" t="str">
        <x:v>001 Matriz</x:v>
      </x:c>
      <x:c r="BN2" t="str">
        <x:v>Ave</x:v>
      </x:c>
      <x:c r="BO2" t="str">
        <x:v>Caja</x:v>
      </x:c>
      <x:c r="BP2"/>
      <x:c r="BQ2" s="12" t="n">
        <x:v>18143.88</x:v>
      </x:c>
      <x:c r="BR2" t="str">
        <x:v>Kilogramos</x:v>
      </x:c>
      <x:c r="BS2" s="12" t="n">
        <x:v>1</x:v>
      </x:c>
      <x:c r="BT2" s="13" t="n">
        <x:v>18.75</x:v>
      </x:c>
      <x:c r="BU2" s="13" t="n">
        <x:v>340181.52</x:v>
      </x:c>
    </x:row>
    <x:row r="3">
      <x:c r="A3" s="10" t="str">
        <x:v>LOG-202607-0002</x:v>
      </x:c>
      <x:c r="B3" s="11" t="n">
        <x:v>46234</x:v>
      </x:c>
      <x:c r="C3" s="24" t="n">
        <x:f>YEAR(B3)</x:f>
        <x:v>2026</x:v>
      </x:c>
      <x:c r="D3" s="24" t="str">
        <x:f>TEXT(B3,"yyyy-mm")</x:f>
        <x:v>2026-07</x:v>
      </x:c>
      <x:c r="E3" s="24" t="n">
        <x:f>WEEKNUM(B3,2)</x:f>
        <x:v>31</x:v>
      </x:c>
      <x:c r="F3" s="10" t="str">
        <x:v>ORIG-4</x:v>
      </x:c>
      <x:c r="G3" s="10" t="str">
        <x:v>6192</x:v>
      </x:c>
      <x:c r="H3" s="10" t="str">
        <x:v>9128</x:v>
      </x:c>
      <x:c r="I3" t="str">
        <x:v>Buche Crudo Mariposa (Cj)</x:v>
      </x:c>
      <x:c r="J3" t="str">
        <x:v>Cerdo congelado</x:v>
      </x:c>
      <x:c r="K3" t="str">
        <x:v>003 Granja Calle 7</x:v>
      </x:c>
      <x:c r="L3" t="str">
        <x:v>Internacional</x:v>
      </x:c>
      <x:c r="M3" t="str">
        <x:v>Estados Unidos</x:v>
      </x:c>
      <x:c r="N3" t="str">
        <x:v>NORTHSIDE INTERNATIONAL</x:v>
      </x:c>
      <x:c r="O3" s="10" t="str">
        <x:v>9258</x:v>
      </x:c>
      <x:c r="P3" s="10" t="str">
        <x:v>5392</x:v>
      </x:c>
      <x:c r="Q3" s="12" t="n">
        <x:v>17690.28</x:v>
      </x:c>
      <x:c r="R3" s="13" t="n">
        <x:v>839345.83</x:v>
      </x:c>
      <x:c r="S3" t="str">
        <x:v>MXN</x:v>
      </x:c>
      <x:c r="T3" s="12" t="n">
        <x:v>1</x:v>
      </x:c>
      <x:c r="U3" s="11"/>
      <x:c r="V3" s="11"/>
      <x:c r="W3" s="24" t="str">
        <x:f>IF(AND(B3&lt;&gt;"",V3&lt;&gt;""),V3-B3,"")</x:f>
      </x:c>
      <x:c r="X3"/>
      <x:c r="Y3" t="str">
        <x:v>Terrestre</x:v>
      </x:c>
      <x:c r="Z3"/>
      <x:c r="AA3"/>
      <x:c r="AB3" s="11"/>
      <x:c r="AC3" s="11"/>
      <x:c r="AD3" s="24" t="str">
        <x:f>IF(AND(AB3&lt;&gt;"",AC3&lt;&gt;""),AC3-AB3,"")</x:f>
      </x:c>
      <x:c r="AE3" s="10"/>
      <x:c r="AF3"/>
      <x:c r="AG3"/>
      <x:c r="AH3" s="25" t="str">
        <x:f>IF(AND(B3&lt;&gt;"",AG3&lt;&gt;""),B3+AG3,"")</x:f>
      </x:c>
      <x:c r="AI3"/>
      <x:c r="AJ3"/>
      <x:c r="AK3" t="str">
        <x:v>Recibido</x:v>
      </x:c>
      <x:c r="AL3" t="str">
        <x:v>Completo</x:v>
      </x:c>
      <x:c r="AM3"/>
      <x:c r="AN3" t="str">
        <x:v>Logística</x:v>
      </x:c>
      <x:c r="AO3" s="10" t="str">
        <x:v>26 24 1686 6029445</x:v>
      </x:c>
      <x:c r="AP3" s="10" t="str">
        <x:v>PG48331/26</x:v>
      </x:c>
      <x:c r="AQ3"/>
      <x:c r="AR3" s="13"/>
      <x:c r="AS3" s="26" t="n">
        <x:f>IF(R3&lt;&gt;"",MAX(0,R3-AR3),"")</x:f>
        <x:v>839345.83</x:v>
      </x:c>
      <x:c r="AT3" s="13" t="n">
        <x:v>7010.2</x:v>
      </x:c>
      <x:c r="AU3" s="13"/>
      <x:c r="AV3" s="13"/>
      <x:c r="AW3" s="13"/>
      <x:c r="AX3" s="13"/>
      <x:c r="AY3" s="26" t="n">
        <x:f>IF(R3&lt;&gt;"",R3+AT3,"")</x:f>
        <x:v>846356.0299999999</x:v>
      </x:c>
      <x:c r="AZ3" s="27" t="n">
        <x:f>IF(Q3&gt;0,AY3/Q3,"")</x:f>
        <x:v>47.84299796272303</x:v>
      </x:c>
      <x:c r="BA3" s="13" t="n">
        <x:v>51</x:v>
      </x:c>
      <x:c r="BB3" s="26" t="n">
        <x:f>IF(AND(BA3&lt;&gt;"",Q3&gt;0),BA3*Q3,"")</x:f>
        <x:v>902204.2799999999</x:v>
      </x:c>
      <x:c r="BC3" s="26" t="n">
        <x:f>IF(AND(BB3&lt;&gt;"",AY3&lt;&gt;""),BB3-AY3,"")</x:f>
        <x:v>55848.25</x:v>
      </x:c>
      <x:c r="BD3" s="26" t="n">
        <x:f>IF(AND(BA3&lt;&gt;"",AZ3&lt;&gt;""),BA3-AZ3,"")</x:f>
        <x:v>3.1570020372769676</x:v>
      </x:c>
      <x:c r="BE3" s="28" t="n">
        <x:f>IF(BB3&gt;0,BC3/BB3,"")</x:f>
        <x:v>0.06190200073092095</x:v>
      </x:c>
      <x:c r="BF3" s="12"/>
      <x:c r="BG3" s="12"/>
      <x:c r="BH3"/>
      <x:c r="BI3" s="12"/>
      <x:c r="BJ3" s="12"/>
      <x:c r="BK3" s="28" t="n">
        <x:f>COUNTA(B3,G3,H3,I3,K3,M3,N3,Q3,R3,Y3,AE3,AF3,AI3,AK3)/14</x:f>
        <x:v>0.7857142857142857</x:v>
      </x:c>
      <x:c r="BL3" s="24" t="str">
        <x:f>IF(M3="","Falta país",IF(AE3="","Falta fracción",IF(AF3="","Falta Incoterm",IF(W3="","Falta tránsito",IF(X3="","Falta naviera",IF(AND(M3="Estados Unidos",AI3=""),"Falta inspección EE. UU.","Completo"))))))</x:f>
        <x:v>Falta fracción</x:v>
      </x:c>
      <x:c r="BM3" t="str">
        <x:v>001 Matriz</x:v>
      </x:c>
      <x:c r="BN3" t="str">
        <x:v>Porcino</x:v>
      </x:c>
      <x:c r="BO3" t="str">
        <x:v>Caja</x:v>
      </x:c>
      <x:c r="BP3"/>
      <x:c r="BQ3" s="12" t="n">
        <x:v>17690.28</x:v>
      </x:c>
      <x:c r="BR3" t="str">
        <x:v>Kilogramos</x:v>
      </x:c>
      <x:c r="BS3" s="12" t="n">
        <x:v>1</x:v>
      </x:c>
      <x:c r="BT3" s="13" t="n">
        <x:v>47.45</x:v>
      </x:c>
      <x:c r="BU3" s="13" t="n">
        <x:v>839345.83</x:v>
      </x:c>
    </x:row>
    <x:row r="4">
      <x:c r="A4" s="10" t="str">
        <x:v>LOG-202607-0003</x:v>
      </x:c>
      <x:c r="B4" s="11" t="n">
        <x:v>46234</x:v>
      </x:c>
      <x:c r="C4" s="24" t="n">
        <x:f>YEAR(B4)</x:f>
        <x:v>2026</x:v>
      </x:c>
      <x:c r="D4" s="24" t="str">
        <x:f>TEXT(B4,"yyyy-mm")</x:f>
        <x:v>2026-07</x:v>
      </x:c>
      <x:c r="E4" s="24" t="n">
        <x:f>WEEKNUM(B4,2)</x:f>
        <x:v>31</x:v>
      </x:c>
      <x:c r="F4" s="10" t="str">
        <x:v>ORIG-5</x:v>
      </x:c>
      <x:c r="G4" s="10" t="str">
        <x:v>6201</x:v>
      </x:c>
      <x:c r="H4" s="10" t="str">
        <x:v>9270</x:v>
      </x:c>
      <x:c r="I4" t="str">
        <x:v>Pierna de Cerdo (Cb)</x:v>
      </x:c>
      <x:c r="J4" t="str">
        <x:v>Cerdo congelado</x:v>
      </x:c>
      <x:c r="K4" t="str">
        <x:v>003 Granja Calle 7</x:v>
      </x:c>
      <x:c r="L4" t="str">
        <x:v>Internacional</x:v>
      </x:c>
      <x:c r="M4" t="str">
        <x:v>Canadá</x:v>
      </x:c>
      <x:c r="N4" t="str">
        <x:v>BMG TRADING</x:v>
      </x:c>
      <x:c r="O4" s="10" t="str">
        <x:v>11657</x:v>
      </x:c>
      <x:c r="P4" s="10" t="str">
        <x:v>5416</x:v>
      </x:c>
      <x:c r="Q4" s="12" t="n">
        <x:v>18223.88</x:v>
      </x:c>
      <x:c r="R4" s="13" t="n">
        <x:v>790330.05</x:v>
      </x:c>
      <x:c r="S4" t="str">
        <x:v>MXN</x:v>
      </x:c>
      <x:c r="T4" s="12" t="n">
        <x:v>1</x:v>
      </x:c>
      <x:c r="U4" s="11"/>
      <x:c r="V4" s="11"/>
      <x:c r="W4" s="24" t="str">
        <x:f>IF(AND(B4&lt;&gt;"",V4&lt;&gt;""),V4-B4,"")</x:f>
      </x:c>
      <x:c r="X4"/>
      <x:c r="Y4" t="str">
        <x:v>Terrestre</x:v>
      </x:c>
      <x:c r="Z4"/>
      <x:c r="AA4"/>
      <x:c r="AB4" s="11"/>
      <x:c r="AC4" s="11"/>
      <x:c r="AD4" s="24" t="str">
        <x:f>IF(AND(AB4&lt;&gt;"",AC4&lt;&gt;""),AC4-AB4,"")</x:f>
      </x:c>
      <x:c r="AE4" s="10"/>
      <x:c r="AF4"/>
      <x:c r="AG4"/>
      <x:c r="AH4" s="25" t="str">
        <x:f>IF(AND(B4&lt;&gt;"",AG4&lt;&gt;""),B4+AG4,"")</x:f>
      </x:c>
      <x:c r="AI4" t="str">
        <x:v>No aplica</x:v>
      </x:c>
      <x:c r="AJ4"/>
      <x:c r="AK4" t="str">
        <x:v>Recibido</x:v>
      </x:c>
      <x:c r="AL4" t="str">
        <x:v>Completo</x:v>
      </x:c>
      <x:c r="AM4"/>
      <x:c r="AN4" t="str">
        <x:v>Logística</x:v>
      </x:c>
      <x:c r="AO4" s="10" t="str">
        <x:v>26 24 1686 6030102</x:v>
      </x:c>
      <x:c r="AP4" s="10" t="str">
        <x:v>PG49224/26</x:v>
      </x:c>
      <x:c r="AQ4"/>
      <x:c r="AR4" s="13"/>
      <x:c r="AS4" s="26" t="n">
        <x:f>IF(R4&lt;&gt;"",MAX(0,R4-AR4),"")</x:f>
        <x:v>790330.05</x:v>
      </x:c>
      <x:c r="AT4" s="13" t="n">
        <x:v>41730.2</x:v>
      </x:c>
      <x:c r="AU4" s="13"/>
      <x:c r="AV4" s="13"/>
      <x:c r="AW4" s="13"/>
      <x:c r="AX4" s="13"/>
      <x:c r="AY4" s="26" t="n">
        <x:f>IF(R4&lt;&gt;"",R4+AT4,"")</x:f>
        <x:v>832060.25</x:v>
      </x:c>
      <x:c r="AZ4" s="27" t="n">
        <x:f>IF(Q4&gt;0,AY4/Q4,"")</x:f>
        <x:v>45.65768925168515</x:v>
      </x:c>
      <x:c r="BA4" s="13" t="n">
        <x:v>45</x:v>
      </x:c>
      <x:c r="BB4" s="26" t="n">
        <x:f>IF(AND(BA4&lt;&gt;"",Q4&gt;0),BA4*Q4,"")</x:f>
        <x:v>820074.6000000001</x:v>
      </x:c>
      <x:c r="BC4" s="26" t="n">
        <x:f>IF(AND(BB4&lt;&gt;"",AY4&lt;&gt;""),BB4-AY4,"")</x:f>
        <x:v>-11985.649999999907</x:v>
      </x:c>
      <x:c r="BD4" s="26" t="n">
        <x:f>IF(AND(BA4&lt;&gt;"",AZ4&lt;&gt;""),BA4-AZ4,"")</x:f>
        <x:v>-0.6576892516851487</x:v>
      </x:c>
      <x:c r="BE4" s="28" t="n">
        <x:f>IF(BB4&gt;0,BC4/BB4,"")</x:f>
        <x:v>-0.014615316704114364</x:v>
      </x:c>
      <x:c r="BF4" s="12"/>
      <x:c r="BG4" s="12"/>
      <x:c r="BH4"/>
      <x:c r="BI4" s="12"/>
      <x:c r="BJ4" s="12"/>
      <x:c r="BK4" s="28" t="n">
        <x:f>COUNTA(B4,G4,H4,I4,K4,M4,N4,Q4,R4,Y4,AE4,AF4,AI4,AK4)/14</x:f>
        <x:v>0.8571428571428571</x:v>
      </x:c>
      <x:c r="BL4" s="24" t="str">
        <x:f>IF(M4="","Falta país",IF(AE4="","Falta fracción",IF(AF4="","Falta Incoterm",IF(W4="","Falta tránsito",IF(X4="","Falta naviera",IF(AND(M4="Estados Unidos",AI4=""),"Falta inspección EE. UU.","Completo"))))))</x:f>
        <x:v>Falta fracción</x:v>
      </x:c>
      <x:c r="BM4" t="str">
        <x:v>001 Matriz</x:v>
      </x:c>
      <x:c r="BN4" t="str">
        <x:v>Porcino</x:v>
      </x:c>
      <x:c r="BO4" t="str">
        <x:v>Combo</x:v>
      </x:c>
      <x:c r="BP4"/>
      <x:c r="BQ4" s="12" t="n">
        <x:v>18223.88</x:v>
      </x:c>
      <x:c r="BR4" t="str">
        <x:v>Kilogramos</x:v>
      </x:c>
      <x:c r="BS4" s="12" t="n">
        <x:v>1</x:v>
      </x:c>
      <x:c r="BT4" s="13" t="n">
        <x:v>43.37</x:v>
      </x:c>
      <x:c r="BU4" s="13" t="n">
        <x:v>790330.05</x:v>
      </x:c>
    </x:row>
    <x:row r="5">
      <x:c r="A5" s="10" t="str">
        <x:v>LOG-202607-0004</x:v>
      </x:c>
      <x:c r="B5" s="11" t="n">
        <x:v>46234</x:v>
      </x:c>
      <x:c r="C5" s="24" t="n">
        <x:f>YEAR(B5)</x:f>
        <x:v>2026</x:v>
      </x:c>
      <x:c r="D5" s="24" t="str">
        <x:f>TEXT(B5,"yyyy-mm")</x:f>
        <x:v>2026-07</x:v>
      </x:c>
      <x:c r="E5" s="24" t="n">
        <x:f>WEEKNUM(B5,2)</x:f>
        <x:v>31</x:v>
      </x:c>
      <x:c r="F5" s="10" t="str">
        <x:v>ORIG-6</x:v>
      </x:c>
      <x:c r="G5" s="10" t="str">
        <x:v>6200</x:v>
      </x:c>
      <x:c r="H5" s="10" t="str">
        <x:v>9270</x:v>
      </x:c>
      <x:c r="I5" t="str">
        <x:v>Pierna de Cerdo (Cb)</x:v>
      </x:c>
      <x:c r="J5" t="str">
        <x:v>Cerdo congelado</x:v>
      </x:c>
      <x:c r="K5" t="str">
        <x:v>003 Granja Calle 7</x:v>
      </x:c>
      <x:c r="L5" t="str">
        <x:v>Internacional</x:v>
      </x:c>
      <x:c r="M5" t="str">
        <x:v>Canadá</x:v>
      </x:c>
      <x:c r="N5" t="str">
        <x:v>CANADA PACKERS INC</x:v>
      </x:c>
      <x:c r="O5" s="10" t="str">
        <x:v>9601945610</x:v>
      </x:c>
      <x:c r="P5" s="10" t="str">
        <x:v>5372</x:v>
      </x:c>
      <x:c r="Q5" s="12" t="n">
        <x:v>18896.21</x:v>
      </x:c>
      <x:c r="R5" s="13" t="n">
        <x:v>695559.48</x:v>
      </x:c>
      <x:c r="S5" t="str">
        <x:v>MXN</x:v>
      </x:c>
      <x:c r="T5" s="12" t="n">
        <x:v>1</x:v>
      </x:c>
      <x:c r="U5" s="11"/>
      <x:c r="V5" s="11"/>
      <x:c r="W5" s="24" t="str">
        <x:f>IF(AND(B5&lt;&gt;"",V5&lt;&gt;""),V5-B5,"")</x:f>
      </x:c>
      <x:c r="X5"/>
      <x:c r="Y5" t="str">
        <x:v>Terrestre</x:v>
      </x:c>
      <x:c r="Z5"/>
      <x:c r="AA5"/>
      <x:c r="AB5" s="11"/>
      <x:c r="AC5" s="11"/>
      <x:c r="AD5" s="24" t="str">
        <x:f>IF(AND(AB5&lt;&gt;"",AC5&lt;&gt;""),AC5-AB5,"")</x:f>
      </x:c>
      <x:c r="AE5" s="10"/>
      <x:c r="AF5"/>
      <x:c r="AG5"/>
      <x:c r="AH5" s="25" t="str">
        <x:f>IF(AND(B5&lt;&gt;"",AG5&lt;&gt;""),B5+AG5,"")</x:f>
      </x:c>
      <x:c r="AI5" t="str">
        <x:v>No aplica</x:v>
      </x:c>
      <x:c r="AJ5"/>
      <x:c r="AK5" t="str">
        <x:v>Recibido</x:v>
      </x:c>
      <x:c r="AL5" t="str">
        <x:v>Completo</x:v>
      </x:c>
      <x:c r="AM5"/>
      <x:c r="AN5" t="str">
        <x:v>Logística</x:v>
      </x:c>
      <x:c r="AO5" s="10" t="str">
        <x:v>26 24 1686 6030066</x:v>
      </x:c>
      <x:c r="AP5" s="10" t="str">
        <x:v>PG49203/26</x:v>
      </x:c>
      <x:c r="AQ5"/>
      <x:c r="AR5" s="13"/>
      <x:c r="AS5" s="26" t="n">
        <x:f>IF(R5&lt;&gt;"",MAX(0,R5-AR5),"")</x:f>
        <x:v>695559.48</x:v>
      </x:c>
      <x:c r="AT5" s="13" t="n">
        <x:v>7010.2</x:v>
      </x:c>
      <x:c r="AU5" s="13"/>
      <x:c r="AV5" s="13"/>
      <x:c r="AW5" s="13"/>
      <x:c r="AX5" s="13"/>
      <x:c r="AY5" s="26" t="n">
        <x:f>IF(R5&lt;&gt;"",R5+AT5,"")</x:f>
        <x:v>702569.6799999999</x:v>
      </x:c>
      <x:c r="AZ5" s="27" t="n">
        <x:f>IF(Q5&gt;0,AY5/Q5,"")</x:f>
        <x:v>37.180454704938185</x:v>
      </x:c>
      <x:c r="BA5" s="13" t="n">
        <x:v>45</x:v>
      </x:c>
      <x:c r="BB5" s="26" t="n">
        <x:f>IF(AND(BA5&lt;&gt;"",Q5&gt;0),BA5*Q5,"")</x:f>
        <x:v>850329.45</x:v>
      </x:c>
      <x:c r="BC5" s="26" t="n">
        <x:f>IF(AND(BB5&lt;&gt;"",AY5&lt;&gt;""),BB5-AY5,"")</x:f>
        <x:v>147759.77000000002</x:v>
      </x:c>
      <x:c r="BD5" s="26" t="n">
        <x:f>IF(AND(BA5&lt;&gt;"",AZ5&lt;&gt;""),BA5-AZ5,"")</x:f>
        <x:v>7.819545295061815</x:v>
      </x:c>
      <x:c r="BE5" s="28" t="n">
        <x:f>IF(BB5&gt;0,BC5/BB5,"")</x:f>
        <x:v>0.1737676732235959</x:v>
      </x:c>
      <x:c r="BF5" s="12"/>
      <x:c r="BG5" s="12"/>
      <x:c r="BH5"/>
      <x:c r="BI5" s="12"/>
      <x:c r="BJ5" s="12"/>
      <x:c r="BK5" s="28" t="n">
        <x:f>COUNTA(B5,G5,H5,I5,K5,M5,N5,Q5,R5,Y5,AE5,AF5,AI5,AK5)/14</x:f>
        <x:v>0.8571428571428571</x:v>
      </x:c>
      <x:c r="BL5" s="24" t="str">
        <x:f>IF(M5="","Falta país",IF(AE5="","Falta fracción",IF(AF5="","Falta Incoterm",IF(W5="","Falta tránsito",IF(X5="","Falta naviera",IF(AND(M5="Estados Unidos",AI5=""),"Falta inspección EE. UU.","Completo"))))))</x:f>
        <x:v>Falta fracción</x:v>
      </x:c>
      <x:c r="BM5" t="str">
        <x:v>001 Matriz</x:v>
      </x:c>
      <x:c r="BN5" t="str">
        <x:v>Porcino</x:v>
      </x:c>
      <x:c r="BO5" t="str">
        <x:v>Combo</x:v>
      </x:c>
      <x:c r="BP5"/>
      <x:c r="BQ5" s="12" t="n">
        <x:v>18896.21</x:v>
      </x:c>
      <x:c r="BR5" t="str">
        <x:v>Kilogramos</x:v>
      </x:c>
      <x:c r="BS5" s="12" t="n">
        <x:v>1</x:v>
      </x:c>
      <x:c r="BT5" s="13" t="n">
        <x:v>36.81</x:v>
      </x:c>
      <x:c r="BU5" s="13" t="n">
        <x:v>695559.48</x:v>
      </x:c>
    </x:row>
    <x:row r="6">
      <x:c r="A6" s="10" t="str">
        <x:v>LOG-202607-0005</x:v>
      </x:c>
      <x:c r="B6" s="11" t="n">
        <x:v>46234</x:v>
      </x:c>
      <x:c r="C6" s="24" t="n">
        <x:f>YEAR(B6)</x:f>
        <x:v>2026</x:v>
      </x:c>
      <x:c r="D6" s="24" t="str">
        <x:f>TEXT(B6,"yyyy-mm")</x:f>
        <x:v>2026-07</x:v>
      </x:c>
      <x:c r="E6" s="24" t="n">
        <x:f>WEEKNUM(B6,2)</x:f>
        <x:v>31</x:v>
      </x:c>
      <x:c r="F6" s="10" t="str">
        <x:v>ORIG-7</x:v>
      </x:c>
      <x:c r="G6" s="10" t="str">
        <x:v>6198</x:v>
      </x:c>
      <x:c r="H6" s="10" t="str">
        <x:v>9183</x:v>
      </x:c>
      <x:c r="I6" t="str">
        <x:v>Cuero Belly (Cb)</x:v>
      </x:c>
      <x:c r="J6" t="str">
        <x:v>Cerdo congelado</x:v>
      </x:c>
      <x:c r="K6" t="str">
        <x:v>003 Granja Calle 7</x:v>
      </x:c>
      <x:c r="L6" t="str">
        <x:v>Internacional</x:v>
      </x:c>
      <x:c r="M6" t="str">
        <x:v>Estados Unidos</x:v>
      </x:c>
      <x:c r="N6" t="str">
        <x:v>NORTHSIDE INTERNATIONAL</x:v>
      </x:c>
      <x:c r="O6" s="10" t="str">
        <x:v>9238</x:v>
      </x:c>
      <x:c r="P6" s="10" t="str">
        <x:v>5357</x:v>
      </x:c>
      <x:c r="Q6" s="12" t="n">
        <x:v>17096.07</x:v>
      </x:c>
      <x:c r="R6" s="13" t="n">
        <x:v>294369.83</x:v>
      </x:c>
      <x:c r="S6" t="str">
        <x:v>MXN</x:v>
      </x:c>
      <x:c r="T6" s="12" t="n">
        <x:v>1</x:v>
      </x:c>
      <x:c r="U6" s="11"/>
      <x:c r="V6" s="11"/>
      <x:c r="W6" s="24" t="str">
        <x:f>IF(AND(B6&lt;&gt;"",V6&lt;&gt;""),V6-B6,"")</x:f>
      </x:c>
      <x:c r="X6"/>
      <x:c r="Y6" t="str">
        <x:v>Terrestre</x:v>
      </x:c>
      <x:c r="Z6"/>
      <x:c r="AA6"/>
      <x:c r="AB6" s="11"/>
      <x:c r="AC6" s="11"/>
      <x:c r="AD6" s="24" t="str">
        <x:f>IF(AND(AB6&lt;&gt;"",AC6&lt;&gt;""),AC6-AB6,"")</x:f>
      </x:c>
      <x:c r="AE6" s="10"/>
      <x:c r="AF6"/>
      <x:c r="AG6"/>
      <x:c r="AH6" s="25" t="str">
        <x:f>IF(AND(B6&lt;&gt;"",AG6&lt;&gt;""),B6+AG6,"")</x:f>
      </x:c>
      <x:c r="AI6"/>
      <x:c r="AJ6"/>
      <x:c r="AK6" t="str">
        <x:v>Recibido</x:v>
      </x:c>
      <x:c r="AL6" t="str">
        <x:v>Completo</x:v>
      </x:c>
      <x:c r="AM6"/>
      <x:c r="AN6" t="str">
        <x:v>Logística</x:v>
      </x:c>
      <x:c r="AO6" s="10" t="str">
        <x:v>26 24 1686 6029941</x:v>
      </x:c>
      <x:c r="AP6" s="10" t="str">
        <x:v>PG48903/26</x:v>
      </x:c>
      <x:c r="AQ6"/>
      <x:c r="AR6" s="13"/>
      <x:c r="AS6" s="26" t="n">
        <x:f>IF(R6&lt;&gt;"",MAX(0,R6-AR6),"")</x:f>
        <x:v>294369.83</x:v>
      </x:c>
      <x:c r="AT6" s="13" t="n">
        <x:v>41730.2</x:v>
      </x:c>
      <x:c r="AU6" s="13"/>
      <x:c r="AV6" s="13"/>
      <x:c r="AW6" s="13"/>
      <x:c r="AX6" s="13"/>
      <x:c r="AY6" s="26" t="n">
        <x:f>IF(R6&lt;&gt;"",R6+AT6,"")</x:f>
        <x:v>336100.03</x:v>
      </x:c>
      <x:c r="AZ6" s="27" t="n">
        <x:f>IF(Q6&gt;0,AY6/Q6,"")</x:f>
        <x:v>19.659490748458566</x:v>
      </x:c>
      <x:c r="BA6" s="13" t="n">
        <x:v>30.5</x:v>
      </x:c>
      <x:c r="BB6" s="26" t="n">
        <x:f>IF(AND(BA6&lt;&gt;"",Q6&gt;0),BA6*Q6,"")</x:f>
        <x:v>521430.135</x:v>
      </x:c>
      <x:c r="BC6" s="26" t="n">
        <x:f>IF(AND(BB6&lt;&gt;"",AY6&lt;&gt;""),BB6-AY6,"")</x:f>
        <x:v>185330.10499999998</x:v>
      </x:c>
      <x:c r="BD6" s="26" t="n">
        <x:f>IF(AND(BA6&lt;&gt;"",AZ6&lt;&gt;""),BA6-AZ6,"")</x:f>
        <x:v>10.840509251541434</x:v>
      </x:c>
      <x:c r="BE6" s="28" t="n">
        <x:f>IF(BB6&gt;0,BC6/BB6,"")</x:f>
        <x:v>0.3554265328374241</x:v>
      </x:c>
      <x:c r="BF6" s="12"/>
      <x:c r="BG6" s="12"/>
      <x:c r="BH6"/>
      <x:c r="BI6" s="12"/>
      <x:c r="BJ6" s="12"/>
      <x:c r="BK6" s="28" t="n">
        <x:f>COUNTA(B6,G6,H6,I6,K6,M6,N6,Q6,R6,Y6,AE6,AF6,AI6,AK6)/14</x:f>
        <x:v>0.7857142857142857</x:v>
      </x:c>
      <x:c r="BL6" s="24" t="str">
        <x:f>IF(M6="","Falta país",IF(AE6="","Falta fracción",IF(AF6="","Falta Incoterm",IF(W6="","Falta tránsito",IF(X6="","Falta naviera",IF(AND(M6="Estados Unidos",AI6=""),"Falta inspección EE. UU.","Completo"))))))</x:f>
        <x:v>Falta fracción</x:v>
      </x:c>
      <x:c r="BM6" t="str">
        <x:v>001 Matriz</x:v>
      </x:c>
      <x:c r="BN6" t="str">
        <x:v>Porcino</x:v>
      </x:c>
      <x:c r="BO6" t="str">
        <x:v>Combo</x:v>
      </x:c>
      <x:c r="BP6"/>
      <x:c r="BQ6" s="12" t="n">
        <x:v>17096.07</x:v>
      </x:c>
      <x:c r="BR6" t="str">
        <x:v>Kilogramos</x:v>
      </x:c>
      <x:c r="BS6" s="12" t="n">
        <x:v>1</x:v>
      </x:c>
      <x:c r="BT6" s="13" t="n">
        <x:v>17.22</x:v>
      </x:c>
      <x:c r="BU6" s="13" t="n">
        <x:v>294369.83</x:v>
      </x:c>
    </x:row>
    <x:row r="7">
      <x:c r="A7" s="10" t="str">
        <x:v>LOG-202607-0006</x:v>
      </x:c>
      <x:c r="B7" s="11" t="n">
        <x:v>46233</x:v>
      </x:c>
      <x:c r="C7" s="24" t="n">
        <x:f>YEAR(B7)</x:f>
        <x:v>2026</x:v>
      </x:c>
      <x:c r="D7" s="24" t="str">
        <x:f>TEXT(B7,"yyyy-mm")</x:f>
        <x:v>2026-07</x:v>
      </x:c>
      <x:c r="E7" s="24" t="n">
        <x:f>WEEKNUM(B7,2)</x:f>
        <x:v>31</x:v>
      </x:c>
      <x:c r="F7" s="10" t="str">
        <x:v>ORIG-72</x:v>
      </x:c>
      <x:c r="G7" s="10" t="str">
        <x:v>6197</x:v>
      </x:c>
      <x:c r="H7" s="10" t="str">
        <x:v>9254</x:v>
      </x:c>
      <x:c r="I7" t="str">
        <x:v>Outer Shank (Cj)</x:v>
      </x:c>
      <x:c r="J7" t="str">
        <x:v>Cerdo congelado</x:v>
      </x:c>
      <x:c r="K7" t="str">
        <x:v>003 Granja Calle 7</x:v>
      </x:c>
      <x:c r="L7" t="str">
        <x:v>Internacional</x:v>
      </x:c>
      <x:c r="M7" t="str">
        <x:v>Canadá</x:v>
      </x:c>
      <x:c r="N7" t="str">
        <x:v>HYLIFE FOODS LP</x:v>
      </x:c>
      <x:c r="O7" s="10" t="str">
        <x:v>INN0308979</x:v>
      </x:c>
      <x:c r="P7" s="10" t="str">
        <x:v>5437</x:v>
      </x:c>
      <x:c r="Q7" s="12" t="n">
        <x:v>18155.74</x:v>
      </x:c>
      <x:c r="R7" s="13" t="n">
        <x:v>939274.29</x:v>
      </x:c>
      <x:c r="S7" t="str">
        <x:v>MXN</x:v>
      </x:c>
      <x:c r="T7" s="12" t="n">
        <x:v>1</x:v>
      </x:c>
      <x:c r="U7" s="11"/>
      <x:c r="V7" s="11"/>
      <x:c r="W7" s="24" t="str">
        <x:f>IF(AND(B7&lt;&gt;"",V7&lt;&gt;""),V7-B7,"")</x:f>
      </x:c>
      <x:c r="X7"/>
      <x:c r="Y7" t="str">
        <x:v>Terrestre</x:v>
      </x:c>
      <x:c r="Z7"/>
      <x:c r="AA7"/>
      <x:c r="AB7" s="11"/>
      <x:c r="AC7" s="11"/>
      <x:c r="AD7" s="24" t="str">
        <x:f>IF(AND(AB7&lt;&gt;"",AC7&lt;&gt;""),AC7-AB7,"")</x:f>
      </x:c>
      <x:c r="AE7" s="10"/>
      <x:c r="AF7"/>
      <x:c r="AG7"/>
      <x:c r="AH7" s="25" t="str">
        <x:f>IF(AND(B7&lt;&gt;"",AG7&lt;&gt;""),B7+AG7,"")</x:f>
      </x:c>
      <x:c r="AI7" t="str">
        <x:v>No aplica</x:v>
      </x:c>
      <x:c r="AJ7"/>
      <x:c r="AK7" t="str">
        <x:v>Recibido</x:v>
      </x:c>
      <x:c r="AL7" t="str">
        <x:v>Completo</x:v>
      </x:c>
      <x:c r="AM7"/>
      <x:c r="AN7" t="str">
        <x:v>Logística</x:v>
      </x:c>
      <x:c r="AO7" s="10" t="str">
        <x:v>26 24 1686 6029714</x:v>
      </x:c>
      <x:c r="AP7" s="10" t="str">
        <x:v>PG48750/26</x:v>
      </x:c>
      <x:c r="AQ7"/>
      <x:c r="AR7" s="13"/>
      <x:c r="AS7" s="26" t="n">
        <x:f>IF(R7&lt;&gt;"",MAX(0,R7-AR7),"")</x:f>
        <x:v>939274.29</x:v>
      </x:c>
      <x:c r="AT7" s="13" t="n">
        <x:v>7010.2</x:v>
      </x:c>
      <x:c r="AU7" s="13"/>
      <x:c r="AV7" s="13"/>
      <x:c r="AW7" s="13"/>
      <x:c r="AX7" s="13"/>
      <x:c r="AY7" s="26" t="n">
        <x:f>IF(R7&lt;&gt;"",R7+AT7,"")</x:f>
        <x:v>946284.49</x:v>
      </x:c>
      <x:c r="AZ7" s="27" t="n">
        <x:f>IF(Q7&gt;0,AY7/Q7,"")</x:f>
        <x:v>52.1204032443734</x:v>
      </x:c>
      <x:c r="BA7" s="13" t="n">
        <x:v>66</x:v>
      </x:c>
      <x:c r="BB7" s="26" t="n">
        <x:f>IF(AND(BA7&lt;&gt;"",Q7&gt;0),BA7*Q7,"")</x:f>
        <x:v>1198278.84</x:v>
      </x:c>
      <x:c r="BC7" s="26" t="n">
        <x:f>IF(AND(BB7&lt;&gt;"",AY7&lt;&gt;""),BB7-AY7,"")</x:f>
        <x:v>251994.3500000001</x:v>
      </x:c>
      <x:c r="BD7" s="26" t="n">
        <x:f>IF(AND(BA7&lt;&gt;"",AZ7&lt;&gt;""),BA7-AZ7,"")</x:f>
        <x:v>13.8795967556266</x:v>
      </x:c>
      <x:c r="BE7" s="28" t="n">
        <x:f>IF(BB7&gt;0,BC7/BB7,"")</x:f>
        <x:v>0.21029692053979696</x:v>
      </x:c>
      <x:c r="BF7" s="12"/>
      <x:c r="BG7" s="12"/>
      <x:c r="BH7"/>
      <x:c r="BI7" s="12"/>
      <x:c r="BJ7" s="12"/>
      <x:c r="BK7" s="28" t="n">
        <x:f>COUNTA(B7,G7,H7,I7,K7,M7,N7,Q7,R7,Y7,AE7,AF7,AI7,AK7)/14</x:f>
        <x:v>0.8571428571428571</x:v>
      </x:c>
      <x:c r="BL7" s="24" t="str">
        <x:f>IF(M7="","Falta país",IF(AE7="","Falta fracción",IF(AF7="","Falta Incoterm",IF(W7="","Falta tránsito",IF(X7="","Falta naviera",IF(AND(M7="Estados Unidos",AI7=""),"Falta inspección EE. UU.","Completo"))))))</x:f>
        <x:v>Falta fracción</x:v>
      </x:c>
      <x:c r="BM7" t="str">
        <x:v>001 Matriz</x:v>
      </x:c>
      <x:c r="BN7" t="str">
        <x:v>Porcino</x:v>
      </x:c>
      <x:c r="BO7" t="str">
        <x:v>Caja</x:v>
      </x:c>
      <x:c r="BP7"/>
      <x:c r="BQ7" s="12" t="n">
        <x:v>18155.74</x:v>
      </x:c>
      <x:c r="BR7" t="str">
        <x:v>Kilogramos</x:v>
      </x:c>
      <x:c r="BS7" s="12" t="n">
        <x:v>1</x:v>
      </x:c>
      <x:c r="BT7" s="13" t="n">
        <x:v>51.73</x:v>
      </x:c>
      <x:c r="BU7" s="13" t="n">
        <x:v>939274.29</x:v>
      </x:c>
    </x:row>
    <x:row r="8">
      <x:c r="A8" s="10" t="str">
        <x:v>LOG-202607-0007</x:v>
      </x:c>
      <x:c r="B8" s="11" t="n">
        <x:v>46233</x:v>
      </x:c>
      <x:c r="C8" s="24" t="n">
        <x:f>YEAR(B8)</x:f>
        <x:v>2026</x:v>
      </x:c>
      <x:c r="D8" s="24" t="str">
        <x:f>TEXT(B8,"yyyy-mm")</x:f>
        <x:v>2026-07</x:v>
      </x:c>
      <x:c r="E8" s="24" t="n">
        <x:f>WEEKNUM(B8,2)</x:f>
        <x:v>31</x:v>
      </x:c>
      <x:c r="F8" s="10" t="str">
        <x:v>ORIG-73</x:v>
      </x:c>
      <x:c r="G8" s="10" t="str">
        <x:v>6194</x:v>
      </x:c>
      <x:c r="H8" s="10" t="str">
        <x:v>9183</x:v>
      </x:c>
      <x:c r="I8" t="str">
        <x:v>Cuero Belly (Cb)</x:v>
      </x:c>
      <x:c r="J8" t="str">
        <x:v>Cerdo congelado</x:v>
      </x:c>
      <x:c r="K8" t="str">
        <x:v>003 Granja Calle 7</x:v>
      </x:c>
      <x:c r="L8" t="str">
        <x:v>Internacional</x:v>
      </x:c>
      <x:c r="M8" t="str">
        <x:v>Estados Unidos</x:v>
      </x:c>
      <x:c r="N8" t="str">
        <x:v>SAM FARMS LLC</x:v>
      </x:c>
      <x:c r="O8" s="10" t="str">
        <x:v>14574</x:v>
      </x:c>
      <x:c r="P8" s="10" t="str">
        <x:v>5468</x:v>
      </x:c>
      <x:c r="Q8" s="12" t="n">
        <x:v>18486.35</x:v>
      </x:c>
      <x:c r="R8" s="13" t="n">
        <x:v>413977.64</x:v>
      </x:c>
      <x:c r="S8" t="str">
        <x:v>MXN</x:v>
      </x:c>
      <x:c r="T8" s="12" t="n">
        <x:v>1</x:v>
      </x:c>
      <x:c r="U8" s="11"/>
      <x:c r="V8" s="11"/>
      <x:c r="W8" s="24" t="str">
        <x:f>IF(AND(B8&lt;&gt;"",V8&lt;&gt;""),V8-B8,"")</x:f>
      </x:c>
      <x:c r="X8"/>
      <x:c r="Y8" t="str">
        <x:v>Terrestre</x:v>
      </x:c>
      <x:c r="Z8"/>
      <x:c r="AA8"/>
      <x:c r="AB8" s="11"/>
      <x:c r="AC8" s="11"/>
      <x:c r="AD8" s="24" t="str">
        <x:f>IF(AND(AB8&lt;&gt;"",AC8&lt;&gt;""),AC8-AB8,"")</x:f>
      </x:c>
      <x:c r="AE8" s="10"/>
      <x:c r="AF8"/>
      <x:c r="AG8"/>
      <x:c r="AH8" s="25" t="str">
        <x:f>IF(AND(B8&lt;&gt;"",AG8&lt;&gt;""),B8+AG8,"")</x:f>
      </x:c>
      <x:c r="AI8"/>
      <x:c r="AJ8"/>
      <x:c r="AK8" t="str">
        <x:v>Recibido</x:v>
      </x:c>
      <x:c r="AL8" t="str">
        <x:v>Completo</x:v>
      </x:c>
      <x:c r="AM8"/>
      <x:c r="AN8" t="str">
        <x:v>Logística</x:v>
      </x:c>
      <x:c r="AO8" s="10" t="str">
        <x:v>26 24 1686 6029532</x:v>
      </x:c>
      <x:c r="AP8" s="10" t="str">
        <x:v>PG48449/26</x:v>
      </x:c>
      <x:c r="AQ8"/>
      <x:c r="AR8" s="13"/>
      <x:c r="AS8" s="26" t="n">
        <x:f>IF(R8&lt;&gt;"",MAX(0,R8-AR8),"")</x:f>
        <x:v>413977.64</x:v>
      </x:c>
      <x:c r="AT8" s="13" t="n">
        <x:v>7010.2</x:v>
      </x:c>
      <x:c r="AU8" s="13"/>
      <x:c r="AV8" s="13"/>
      <x:c r="AW8" s="13"/>
      <x:c r="AX8" s="13"/>
      <x:c r="AY8" s="26" t="n">
        <x:f>IF(R8&lt;&gt;"",R8+AT8,"")</x:f>
        <x:v>420987.84</x:v>
      </x:c>
      <x:c r="AZ8" s="27" t="n">
        <x:f>IF(Q8&gt;0,AY8/Q8,"")</x:f>
        <x:v>22.772902168356655</x:v>
      </x:c>
      <x:c r="BA8" s="13" t="n">
        <x:v>30.5</x:v>
      </x:c>
      <x:c r="BB8" s="26" t="n">
        <x:f>IF(AND(BA8&lt;&gt;"",Q8&gt;0),BA8*Q8,"")</x:f>
        <x:v>563833.6749999999</x:v>
      </x:c>
      <x:c r="BC8" s="26" t="n">
        <x:f>IF(AND(BB8&lt;&gt;"",AY8&lt;&gt;""),BB8-AY8,"")</x:f>
        <x:v>142845.8349999999</x:v>
      </x:c>
      <x:c r="BD8" s="26" t="n">
        <x:f>IF(AND(BA8&lt;&gt;"",AZ8&lt;&gt;""),BA8-AZ8,"")</x:f>
        <x:v>7.727097831643345</x:v>
      </x:c>
      <x:c r="BE8" s="28" t="n">
        <x:f>IF(BB8&gt;0,BC8/BB8,"")</x:f>
        <x:v>0.25334746988994566</x:v>
      </x:c>
      <x:c r="BF8" s="12"/>
      <x:c r="BG8" s="12"/>
      <x:c r="BH8"/>
      <x:c r="BI8" s="12"/>
      <x:c r="BJ8" s="12"/>
      <x:c r="BK8" s="28" t="n">
        <x:f>COUNTA(B8,G8,H8,I8,K8,M8,N8,Q8,R8,Y8,AE8,AF8,AI8,AK8)/14</x:f>
        <x:v>0.7857142857142857</x:v>
      </x:c>
      <x:c r="BL8" s="24" t="str">
        <x:f>IF(M8="","Falta país",IF(AE8="","Falta fracción",IF(AF8="","Falta Incoterm",IF(W8="","Falta tránsito",IF(X8="","Falta naviera",IF(AND(M8="Estados Unidos",AI8=""),"Falta inspección EE. UU.","Completo"))))))</x:f>
        <x:v>Falta fracción</x:v>
      </x:c>
      <x:c r="BM8" t="str">
        <x:v>001 Matriz</x:v>
      </x:c>
      <x:c r="BN8" t="str">
        <x:v>Porcino</x:v>
      </x:c>
      <x:c r="BO8" t="str">
        <x:v>Combo</x:v>
      </x:c>
      <x:c r="BP8"/>
      <x:c r="BQ8" s="12" t="n">
        <x:v>18486.35</x:v>
      </x:c>
      <x:c r="BR8" t="str">
        <x:v>Kilogramos</x:v>
      </x:c>
      <x:c r="BS8" s="12" t="n">
        <x:v>1</x:v>
      </x:c>
      <x:c r="BT8" s="13" t="n">
        <x:v>22.39</x:v>
      </x:c>
      <x:c r="BU8" s="13" t="n">
        <x:v>413977.64</x:v>
      </x:c>
    </x:row>
    <x:row r="9">
      <x:c r="A9" s="10" t="str">
        <x:v>LOG-202607-0008</x:v>
      </x:c>
      <x:c r="B9" s="11" t="n">
        <x:v>46233</x:v>
      </x:c>
      <x:c r="C9" s="24" t="n">
        <x:f>YEAR(B9)</x:f>
        <x:v>2026</x:v>
      </x:c>
      <x:c r="D9" s="24" t="str">
        <x:f>TEXT(B9,"yyyy-mm")</x:f>
        <x:v>2026-07</x:v>
      </x:c>
      <x:c r="E9" s="24" t="n">
        <x:f>WEEKNUM(B9,2)</x:f>
        <x:v>31</x:v>
      </x:c>
      <x:c r="F9" s="10" t="str">
        <x:v>ORIG-74</x:v>
      </x:c>
      <x:c r="G9" s="10" t="str">
        <x:v>6193</x:v>
      </x:c>
      <x:c r="H9" s="10" t="str">
        <x:v>9176</x:v>
      </x:c>
      <x:c r="I9" t="str">
        <x:v>Corbata A/Vacío (Cj)</x:v>
      </x:c>
      <x:c r="J9" t="str">
        <x:v>Cerdo congelado</x:v>
      </x:c>
      <x:c r="K9" t="str">
        <x:v>003 Granja Calle 7</x:v>
      </x:c>
      <x:c r="L9" t="str">
        <x:v>Internacional</x:v>
      </x:c>
      <x:c r="M9" t="str">
        <x:v>Estados Unidos</x:v>
      </x:c>
      <x:c r="N9" t="str">
        <x:v>QUIRCH FOODS</x:v>
      </x:c>
      <x:c r="O9" s="10" t="str">
        <x:v>240583</x:v>
      </x:c>
      <x:c r="P9" s="10" t="str">
        <x:v>5502</x:v>
      </x:c>
      <x:c r="Q9" s="12" t="n">
        <x:v>18406.6</x:v>
      </x:c>
      <x:c r="R9" s="13" t="n">
        <x:v>1137081.1</x:v>
      </x:c>
      <x:c r="S9" t="str">
        <x:v>MXN</x:v>
      </x:c>
      <x:c r="T9" s="12" t="n">
        <x:v>1</x:v>
      </x:c>
      <x:c r="U9" s="11"/>
      <x:c r="V9" s="11"/>
      <x:c r="W9" s="24" t="str">
        <x:f>IF(AND(B9&lt;&gt;"",V9&lt;&gt;""),V9-B9,"")</x:f>
      </x:c>
      <x:c r="X9"/>
      <x:c r="Y9" t="str">
        <x:v>Terrestre</x:v>
      </x:c>
      <x:c r="Z9"/>
      <x:c r="AA9"/>
      <x:c r="AB9" s="11"/>
      <x:c r="AC9" s="11"/>
      <x:c r="AD9" s="24" t="str">
        <x:f>IF(AND(AB9&lt;&gt;"",AC9&lt;&gt;""),AC9-AB9,"")</x:f>
      </x:c>
      <x:c r="AE9" s="10"/>
      <x:c r="AF9"/>
      <x:c r="AG9"/>
      <x:c r="AH9" s="25" t="str">
        <x:f>IF(AND(B9&lt;&gt;"",AG9&lt;&gt;""),B9+AG9,"")</x:f>
      </x:c>
      <x:c r="AI9"/>
      <x:c r="AJ9"/>
      <x:c r="AK9" t="str">
        <x:v>Recibido</x:v>
      </x:c>
      <x:c r="AL9" t="str">
        <x:v>Completo</x:v>
      </x:c>
      <x:c r="AM9"/>
      <x:c r="AN9" t="str">
        <x:v>Logística</x:v>
      </x:c>
      <x:c r="AO9" s="10" t="str">
        <x:v>26 24 1686 6029474</x:v>
      </x:c>
      <x:c r="AP9" s="10" t="str">
        <x:v>PG48396/26</x:v>
      </x:c>
      <x:c r="AQ9"/>
      <x:c r="AR9" s="13"/>
      <x:c r="AS9" s="26" t="n">
        <x:f>IF(R9&lt;&gt;"",MAX(0,R9-AR9),"")</x:f>
        <x:v>1137081.1</x:v>
      </x:c>
      <x:c r="AT9" s="13" t="n">
        <x:v>7010.2</x:v>
      </x:c>
      <x:c r="AU9" s="13"/>
      <x:c r="AV9" s="13"/>
      <x:c r="AW9" s="13"/>
      <x:c r="AX9" s="13"/>
      <x:c r="AY9" s="26" t="n">
        <x:f>IF(R9&lt;&gt;"",R9+AT9,"")</x:f>
        <x:v>1144091.3</x:v>
      </x:c>
      <x:c r="AZ9" s="27" t="n">
        <x:f>IF(Q9&gt;0,AY9/Q9,"")</x:f>
        <x:v>62.156579705105784</x:v>
      </x:c>
      <x:c r="BA9" s="13" t="n">
        <x:v>77</x:v>
      </x:c>
      <x:c r="BB9" s="26" t="n">
        <x:f>IF(AND(BA9&lt;&gt;"",Q9&gt;0),BA9*Q9,"")</x:f>
        <x:v>1417308.2</x:v>
      </x:c>
      <x:c r="BC9" s="26" t="n">
        <x:f>IF(AND(BB9&lt;&gt;"",AY9&lt;&gt;""),BB9-AY9,"")</x:f>
        <x:v>273216.8999999999</x:v>
      </x:c>
      <x:c r="BD9" s="26" t="n">
        <x:f>IF(AND(BA9&lt;&gt;"",AZ9&lt;&gt;""),BA9-AZ9,"")</x:f>
        <x:v>14.843420294894216</x:v>
      </x:c>
      <x:c r="BE9" s="28" t="n">
        <x:f>IF(BB9&gt;0,BC9/BB9,"")</x:f>
        <x:v>0.19277169214148335</x:v>
      </x:c>
      <x:c r="BF9" s="12"/>
      <x:c r="BG9" s="12"/>
      <x:c r="BH9"/>
      <x:c r="BI9" s="12"/>
      <x:c r="BJ9" s="12"/>
      <x:c r="BK9" s="28" t="n">
        <x:f>COUNTA(B9,G9,H9,I9,K9,M9,N9,Q9,R9,Y9,AE9,AF9,AI9,AK9)/14</x:f>
        <x:v>0.7857142857142857</x:v>
      </x:c>
      <x:c r="BL9" s="24" t="str">
        <x:f>IF(M9="","Falta país",IF(AE9="","Falta fracción",IF(AF9="","Falta Incoterm",IF(W9="","Falta tránsito",IF(X9="","Falta naviera",IF(AND(M9="Estados Unidos",AI9=""),"Falta inspección EE. UU.","Completo"))))))</x:f>
        <x:v>Falta fracción</x:v>
      </x:c>
      <x:c r="BM9" t="str">
        <x:v>001 Matriz</x:v>
      </x:c>
      <x:c r="BN9" t="str">
        <x:v>Porcino</x:v>
      </x:c>
      <x:c r="BO9" t="str">
        <x:v>Caja</x:v>
      </x:c>
      <x:c r="BP9"/>
      <x:c r="BQ9" s="12" t="n">
        <x:v>18406.6</x:v>
      </x:c>
      <x:c r="BR9" t="str">
        <x:v>Kilogramos</x:v>
      </x:c>
      <x:c r="BS9" s="12" t="n">
        <x:v>1</x:v>
      </x:c>
      <x:c r="BT9" s="13" t="n">
        <x:v>61.78</x:v>
      </x:c>
      <x:c r="BU9" s="13" t="n">
        <x:v>1137081.1</x:v>
      </x:c>
    </x:row>
    <x:row r="10">
      <x:c r="A10" s="10" t="str">
        <x:v>LOG-202607-0009</x:v>
      </x:c>
      <x:c r="B10" s="11" t="n">
        <x:v>46232</x:v>
      </x:c>
      <x:c r="C10" s="24" t="n">
        <x:f>YEAR(B10)</x:f>
        <x:v>2026</x:v>
      </x:c>
      <x:c r="D10" s="24" t="str">
        <x:f>TEXT(B10,"yyyy-mm")</x:f>
        <x:v>2026-07</x:v>
      </x:c>
      <x:c r="E10" s="24" t="n">
        <x:f>WEEKNUM(B10,2)</x:f>
        <x:v>31</x:v>
      </x:c>
      <x:c r="F10" s="10" t="str">
        <x:v>ORIG-131</x:v>
      </x:c>
      <x:c r="G10" s="10" t="str">
        <x:v>6196</x:v>
      </x:c>
      <x:c r="H10" s="10" t="str">
        <x:v>9270</x:v>
      </x:c>
      <x:c r="I10" t="str">
        <x:v>Pierna de Cerdo (Cb)</x:v>
      </x:c>
      <x:c r="J10" t="str">
        <x:v>Cerdo congelado</x:v>
      </x:c>
      <x:c r="K10" t="str">
        <x:v>003 Granja Calle 7</x:v>
      </x:c>
      <x:c r="L10" t="str">
        <x:v>Internacional</x:v>
      </x:c>
      <x:c r="M10" t="str">
        <x:v>Canadá</x:v>
      </x:c>
      <x:c r="N10" t="str">
        <x:v>HYLIFE FOODS LP</x:v>
      </x:c>
      <x:c r="O10" s="10" t="str">
        <x:v>INN0307974</x:v>
      </x:c>
      <x:c r="P10" s="10" t="str">
        <x:v>5402</x:v>
      </x:c>
      <x:c r="Q10" s="12" t="n">
        <x:v>18888</x:v>
      </x:c>
      <x:c r="R10" s="13" t="n">
        <x:v>822679.84</x:v>
      </x:c>
      <x:c r="S10" t="str">
        <x:v>MXN</x:v>
      </x:c>
      <x:c r="T10" s="12" t="n">
        <x:v>1</x:v>
      </x:c>
      <x:c r="U10" s="11"/>
      <x:c r="V10" s="11"/>
      <x:c r="W10" s="24" t="str">
        <x:f>IF(AND(B10&lt;&gt;"",V10&lt;&gt;""),V10-B10,"")</x:f>
      </x:c>
      <x:c r="X10"/>
      <x:c r="Y10" t="str">
        <x:v>Terrestre</x:v>
      </x:c>
      <x:c r="Z10"/>
      <x:c r="AA10"/>
      <x:c r="AB10" s="11"/>
      <x:c r="AC10" s="11"/>
      <x:c r="AD10" s="24" t="str">
        <x:f>IF(AND(AB10&lt;&gt;"",AC10&lt;&gt;""),AC10-AB10,"")</x:f>
      </x:c>
      <x:c r="AE10" s="10"/>
      <x:c r="AF10"/>
      <x:c r="AG10"/>
      <x:c r="AH10" s="25" t="str">
        <x:f>IF(AND(B10&lt;&gt;"",AG10&lt;&gt;""),B10+AG10,"")</x:f>
      </x:c>
      <x:c r="AI10" t="str">
        <x:v>No aplica</x:v>
      </x:c>
      <x:c r="AJ10"/>
      <x:c r="AK10" t="str">
        <x:v>Recibido</x:v>
      </x:c>
      <x:c r="AL10" t="str">
        <x:v>Completo</x:v>
      </x:c>
      <x:c r="AM10"/>
      <x:c r="AN10" t="str">
        <x:v>Logística</x:v>
      </x:c>
      <x:c r="AO10" s="10" t="str">
        <x:v>26 24 1686 6029698</x:v>
      </x:c>
      <x:c r="AP10" s="10" t="str">
        <x:v>PG48699/26</x:v>
      </x:c>
      <x:c r="AQ10"/>
      <x:c r="AR10" s="13"/>
      <x:c r="AS10" s="26" t="n">
        <x:f>IF(R10&lt;&gt;"",MAX(0,R10-AR10),"")</x:f>
        <x:v>822679.84</x:v>
      </x:c>
      <x:c r="AT10" s="13" t="n">
        <x:v>40610.2</x:v>
      </x:c>
      <x:c r="AU10" s="13"/>
      <x:c r="AV10" s="13"/>
      <x:c r="AW10" s="13"/>
      <x:c r="AX10" s="13"/>
      <x:c r="AY10" s="26" t="n">
        <x:f>IF(R10&lt;&gt;"",R10+AT10,"")</x:f>
        <x:v>863290.0399999999</x:v>
      </x:c>
      <x:c r="AZ10" s="27" t="n">
        <x:f>IF(Q10&gt;0,AY10/Q10,"")</x:f>
        <x:v>45.70574121135112</x:v>
      </x:c>
      <x:c r="BA10" s="13" t="n">
        <x:v>45</x:v>
      </x:c>
      <x:c r="BB10" s="26" t="n">
        <x:f>IF(AND(BA10&lt;&gt;"",Q10&gt;0),BA10*Q10,"")</x:f>
        <x:v>849960</x:v>
      </x:c>
      <x:c r="BC10" s="26" t="n">
        <x:f>IF(AND(BB10&lt;&gt;"",AY10&lt;&gt;""),BB10-AY10,"")</x:f>
        <x:v>-13330.03999999992</x:v>
      </x:c>
      <x:c r="BD10" s="26" t="n">
        <x:f>IF(AND(BA10&lt;&gt;"",AZ10&lt;&gt;""),BA10-AZ10,"")</x:f>
        <x:v>-0.7057412113511177</x:v>
      </x:c>
      <x:c r="BE10" s="28" t="n">
        <x:f>IF(BB10&gt;0,BC10/BB10,"")</x:f>
        <x:v>-0.01568313803002485</x:v>
      </x:c>
      <x:c r="BF10" s="12"/>
      <x:c r="BG10" s="12"/>
      <x:c r="BH10"/>
      <x:c r="BI10" s="12"/>
      <x:c r="BJ10" s="12"/>
      <x:c r="BK10" s="28" t="n">
        <x:f>COUNTA(B10,G10,H10,I10,K10,M10,N10,Q10,R10,Y10,AE10,AF10,AI10,AK10)/14</x:f>
        <x:v>0.8571428571428571</x:v>
      </x:c>
      <x:c r="BL10" s="24" t="str">
        <x:f>IF(M10="","Falta país",IF(AE10="","Falta fracción",IF(AF10="","Falta Incoterm",IF(W10="","Falta tránsito",IF(X10="","Falta naviera",IF(AND(M10="Estados Unidos",AI10=""),"Falta inspección EE. UU.","Completo"))))))</x:f>
        <x:v>Falta fracción</x:v>
      </x:c>
      <x:c r="BM10" t="str">
        <x:v>001 Matriz</x:v>
      </x:c>
      <x:c r="BN10" t="str">
        <x:v>Porcino</x:v>
      </x:c>
      <x:c r="BO10" t="str">
        <x:v>Combo</x:v>
      </x:c>
      <x:c r="BP10"/>
      <x:c r="BQ10" s="12" t="n">
        <x:v>18888</x:v>
      </x:c>
      <x:c r="BR10" t="str">
        <x:v>Kilogramos</x:v>
      </x:c>
      <x:c r="BS10" s="12" t="n">
        <x:v>1</x:v>
      </x:c>
      <x:c r="BT10" s="13" t="n">
        <x:v>43.56</x:v>
      </x:c>
      <x:c r="BU10" s="13" t="n">
        <x:v>822679.84</x:v>
      </x:c>
    </x:row>
    <x:row r="11">
      <x:c r="A11" s="10" t="str">
        <x:v>LOG-202607-0010</x:v>
      </x:c>
      <x:c r="B11" s="11" t="n">
        <x:v>46232</x:v>
      </x:c>
      <x:c r="C11" s="24" t="n">
        <x:f>YEAR(B11)</x:f>
        <x:v>2026</x:v>
      </x:c>
      <x:c r="D11" s="24" t="str">
        <x:f>TEXT(B11,"yyyy-mm")</x:f>
        <x:v>2026-07</x:v>
      </x:c>
      <x:c r="E11" s="24" t="n">
        <x:f>WEEKNUM(B11,2)</x:f>
        <x:v>31</x:v>
      </x:c>
      <x:c r="F11" s="10" t="str">
        <x:v>ORIG-145</x:v>
      </x:c>
      <x:c r="G11" s="10" t="str">
        <x:v>6202</x:v>
      </x:c>
      <x:c r="H11" s="10" t="str">
        <x:v>9129</x:v>
      </x:c>
      <x:c r="I11" t="str">
        <x:v>Buche Crudo Mariposa M (Cj)</x:v>
      </x:c>
      <x:c r="J11" t="str">
        <x:v>Cerdo congelado</x:v>
      </x:c>
      <x:c r="K11" t="str">
        <x:v>001 Corralito</x:v>
      </x:c>
      <x:c r="L11" t="str">
        <x:v>Internacional</x:v>
      </x:c>
      <x:c r="M11"/>
      <x:c r="N11" t="str">
        <x:v>ESS FOOD</x:v>
      </x:c>
      <x:c r="O11" s="10" t="str">
        <x:v>3900469090</x:v>
      </x:c>
      <x:c r="P11" s="10" t="str">
        <x:v>5263</x:v>
      </x:c>
      <x:c r="Q11" s="12" t="n">
        <x:v>24980</x:v>
      </x:c>
      <x:c r="R11" s="13" t="n">
        <x:v>762004.91</x:v>
      </x:c>
      <x:c r="S11" t="str">
        <x:v>MXN</x:v>
      </x:c>
      <x:c r="T11" s="12" t="n">
        <x:v>1</x:v>
      </x:c>
      <x:c r="U11" s="11"/>
      <x:c r="V11" s="11"/>
      <x:c r="W11" s="24" t="str">
        <x:f>IF(AND(B11&lt;&gt;"",V11&lt;&gt;""),V11-B11,"")</x:f>
      </x:c>
      <x:c r="X11"/>
      <x:c r="Y11"/>
      <x:c r="Z11"/>
      <x:c r="AA11"/>
      <x:c r="AB11" s="11"/>
      <x:c r="AC11" s="11"/>
      <x:c r="AD11" s="24" t="str">
        <x:f>IF(AND(AB11&lt;&gt;"",AC11&lt;&gt;""),AC11-AB11,"")</x:f>
      </x:c>
      <x:c r="AE11" s="10"/>
      <x:c r="AF11"/>
      <x:c r="AG11"/>
      <x:c r="AH11" s="25" t="str">
        <x:f>IF(AND(B11&lt;&gt;"",AG11&lt;&gt;""),B11+AG11,"")</x:f>
      </x:c>
      <x:c r="AI11"/>
      <x:c r="AJ11"/>
      <x:c r="AK11" t="str">
        <x:v>Recibido</x:v>
      </x:c>
      <x:c r="AL11"/>
      <x:c r="AM11"/>
      <x:c r="AN11"/>
      <x:c r="AO11" s="10"/>
      <x:c r="AP11" s="10"/>
      <x:c r="AQ11"/>
      <x:c r="AR11" s="13"/>
      <x:c r="AS11" s="26" t="n">
        <x:f>IF(R11&lt;&gt;"",MAX(0,R11-AR11),"")</x:f>
        <x:v>762004.91</x:v>
      </x:c>
      <x:c r="AT11" s="13"/>
      <x:c r="AU11" s="13"/>
      <x:c r="AV11" s="13"/>
      <x:c r="AW11" s="13"/>
      <x:c r="AX11" s="13"/>
      <x:c r="AY11" s="26" t="n">
        <x:f>IF(R11&lt;&gt;"",R11+AT11,"")</x:f>
        <x:v>762004.91</x:v>
      </x:c>
      <x:c r="AZ11" s="27" t="n">
        <x:f>IF(Q11&gt;0,AY11/Q11,"")</x:f>
        <x:v>30.50460008006405</x:v>
      </x:c>
      <x:c r="BA11" s="13"/>
      <x:c r="BB11" s="26" t="str">
        <x:f>IF(AND(BA11&lt;&gt;"",Q11&gt;0),BA11*Q11,"")</x:f>
      </x:c>
      <x:c r="BC11" s="26" t="str">
        <x:f>IF(AND(BB11&lt;&gt;"",AY11&lt;&gt;""),BB11-AY11,"")</x:f>
      </x:c>
      <x:c r="BD11" s="26" t="str">
        <x:f>IF(AND(BA11&lt;&gt;"",AZ11&lt;&gt;""),BA11-AZ11,"")</x:f>
      </x:c>
      <x:c r="BE11" s="28" t="str">
        <x:f>IF(BB11&gt;0,BC11/BB11,"")</x:f>
      </x:c>
      <x:c r="BF11" s="12"/>
      <x:c r="BG11" s="12"/>
      <x:c r="BH11"/>
      <x:c r="BI11" s="12"/>
      <x:c r="BJ11" s="12"/>
      <x:c r="BK11" s="28" t="n">
        <x:f>COUNTA(B11,G11,H11,I11,K11,M11,N11,Q11,R11,Y11,AE11,AF11,AI11,AK11)/14</x:f>
        <x:v>0.6428571428571429</x:v>
      </x:c>
      <x:c r="BL11" s="24" t="str">
        <x:f>IF(M11="","Falta país",IF(AE11="","Falta fracción",IF(AF11="","Falta Incoterm",IF(W11="","Falta tránsito",IF(X11="","Falta naviera",IF(AND(M11="Estados Unidos",AI11=""),"Falta inspección EE. UU.","Completo"))))))</x:f>
        <x:v>Falta país</x:v>
      </x:c>
      <x:c r="BM11" t="str">
        <x:v>001 Matriz</x:v>
      </x:c>
      <x:c r="BN11" t="str">
        <x:v>Porcino</x:v>
      </x:c>
      <x:c r="BO11" t="str">
        <x:v>Caja</x:v>
      </x:c>
      <x:c r="BP11"/>
      <x:c r="BQ11" s="12" t="n">
        <x:v>24980</x:v>
      </x:c>
      <x:c r="BR11" t="str">
        <x:v>Kilogramos</x:v>
      </x:c>
      <x:c r="BS11" s="12" t="n">
        <x:v>1</x:v>
      </x:c>
      <x:c r="BT11" s="13" t="n">
        <x:v>30.5</x:v>
      </x:c>
      <x:c r="BU11" s="13" t="n">
        <x:v>762004.91</x:v>
      </x:c>
    </x:row>
    <x:row r="12">
      <x:c r="A12" s="10" t="str">
        <x:v>LOG-202607-0011</x:v>
      </x:c>
      <x:c r="B12" s="11" t="n">
        <x:v>46231</x:v>
      </x:c>
      <x:c r="C12" s="24" t="n">
        <x:f>YEAR(B12)</x:f>
        <x:v>2026</x:v>
      </x:c>
      <x:c r="D12" s="24" t="str">
        <x:f>TEXT(B12,"yyyy-mm")</x:f>
        <x:v>2026-07</x:v>
      </x:c>
      <x:c r="E12" s="24" t="n">
        <x:f>WEEKNUM(B12,2)</x:f>
        <x:v>31</x:v>
      </x:c>
      <x:c r="F12" s="10" t="str">
        <x:v>ORIG-205</x:v>
      </x:c>
      <x:c r="G12" s="10" t="str">
        <x:v>6188</x:v>
      </x:c>
      <x:c r="H12" s="10" t="str">
        <x:v>9270</x:v>
      </x:c>
      <x:c r="I12" t="str">
        <x:v>Pierna de Cerdo (Cb)</x:v>
      </x:c>
      <x:c r="J12" t="str">
        <x:v>Cerdo congelado</x:v>
      </x:c>
      <x:c r="K12" t="str">
        <x:v>003 Granja Calle 7</x:v>
      </x:c>
      <x:c r="L12" t="str">
        <x:v>Internacional</x:v>
      </x:c>
      <x:c r="M12" t="str">
        <x:v>Canadá</x:v>
      </x:c>
      <x:c r="N12" t="str">
        <x:v>CANADA PACKERS INC</x:v>
      </x:c>
      <x:c r="O12" s="10" t="str">
        <x:v>9601942773</x:v>
      </x:c>
      <x:c r="P12" s="10" t="str">
        <x:v>5371</x:v>
      </x:c>
      <x:c r="Q12" s="12" t="n">
        <x:v>18974.21</x:v>
      </x:c>
      <x:c r="R12" s="13" t="n">
        <x:v>844983.4</x:v>
      </x:c>
      <x:c r="S12" t="str">
        <x:v>MXN</x:v>
      </x:c>
      <x:c r="T12" s="12" t="n">
        <x:v>1</x:v>
      </x:c>
      <x:c r="U12" s="11"/>
      <x:c r="V12" s="11"/>
      <x:c r="W12" s="24" t="str">
        <x:f>IF(AND(B12&lt;&gt;"",V12&lt;&gt;""),V12-B12,"")</x:f>
      </x:c>
      <x:c r="X12"/>
      <x:c r="Y12" t="str">
        <x:v>Terrestre</x:v>
      </x:c>
      <x:c r="Z12"/>
      <x:c r="AA12"/>
      <x:c r="AB12" s="11"/>
      <x:c r="AC12" s="11"/>
      <x:c r="AD12" s="24" t="str">
        <x:f>IF(AND(AB12&lt;&gt;"",AC12&lt;&gt;""),AC12-AB12,"")</x:f>
      </x:c>
      <x:c r="AE12" s="10"/>
      <x:c r="AF12"/>
      <x:c r="AG12"/>
      <x:c r="AH12" s="25" t="str">
        <x:f>IF(AND(B12&lt;&gt;"",AG12&lt;&gt;""),B12+AG12,"")</x:f>
      </x:c>
      <x:c r="AI12" t="str">
        <x:v>No aplica</x:v>
      </x:c>
      <x:c r="AJ12"/>
      <x:c r="AK12" t="str">
        <x:v>Recibido</x:v>
      </x:c>
      <x:c r="AL12" t="str">
        <x:v>Completo</x:v>
      </x:c>
      <x:c r="AM12"/>
      <x:c r="AN12" t="str">
        <x:v>Logística</x:v>
      </x:c>
      <x:c r="AO12" s="10" t="str">
        <x:v>26 24 1686 6029417</x:v>
      </x:c>
      <x:c r="AP12" s="10" t="str">
        <x:v>PG48343/26</x:v>
      </x:c>
      <x:c r="AQ12"/>
      <x:c r="AR12" s="13"/>
      <x:c r="AS12" s="26" t="n">
        <x:f>IF(R12&lt;&gt;"",MAX(0,R12-AR12),"")</x:f>
        <x:v>844983.4</x:v>
      </x:c>
      <x:c r="AT12" s="13" t="n">
        <x:v>7010.2</x:v>
      </x:c>
      <x:c r="AU12" s="13"/>
      <x:c r="AV12" s="13"/>
      <x:c r="AW12" s="13"/>
      <x:c r="AX12" s="13"/>
      <x:c r="AY12" s="26" t="n">
        <x:f>IF(R12&lt;&gt;"",R12+AT12,"")</x:f>
        <x:v>851993.6</x:v>
      </x:c>
      <x:c r="AZ12" s="27" t="n">
        <x:f>IF(Q12&gt;0,AY12/Q12,"")</x:f>
        <x:v>44.90271795242068</x:v>
      </x:c>
      <x:c r="BA12" s="13" t="n">
        <x:v>45</x:v>
      </x:c>
      <x:c r="BB12" s="26" t="n">
        <x:f>IF(AND(BA12&lt;&gt;"",Q12&gt;0),BA12*Q12,"")</x:f>
        <x:v>853839.45</x:v>
      </x:c>
      <x:c r="BC12" s="26" t="n">
        <x:f>IF(AND(BB12&lt;&gt;"",AY12&lt;&gt;""),BB12-AY12,"")</x:f>
        <x:v>1845.8499999999767</x:v>
      </x:c>
      <x:c r="BD12" s="26" t="n">
        <x:f>IF(AND(BA12&lt;&gt;"",AZ12&lt;&gt;""),BA12-AZ12,"")</x:f>
        <x:v>0.09728204757931991</x:v>
      </x:c>
      <x:c r="BE12" s="28" t="n">
        <x:f>IF(BB12&gt;0,BC12/BB12,"")</x:f>
        <x:v>0.0021618232795404062</x:v>
      </x:c>
      <x:c r="BF12" s="12"/>
      <x:c r="BG12" s="12"/>
      <x:c r="BH12"/>
      <x:c r="BI12" s="12"/>
      <x:c r="BJ12" s="12"/>
      <x:c r="BK12" s="28" t="n">
        <x:f>COUNTA(B12,G12,H12,I12,K12,M12,N12,Q12,R12,Y12,AE12,AF12,AI12,AK12)/14</x:f>
        <x:v>0.8571428571428571</x:v>
      </x:c>
      <x:c r="BL12" s="24" t="str">
        <x:f>IF(M12="","Falta país",IF(AE12="","Falta fracción",IF(AF12="","Falta Incoterm",IF(W12="","Falta tránsito",IF(X12="","Falta naviera",IF(AND(M12="Estados Unidos",AI12=""),"Falta inspección EE. UU.","Completo"))))))</x:f>
        <x:v>Falta fracción</x:v>
      </x:c>
      <x:c r="BM12" t="str">
        <x:v>001 Matriz</x:v>
      </x:c>
      <x:c r="BN12" t="str">
        <x:v>Porcino</x:v>
      </x:c>
      <x:c r="BO12" t="str">
        <x:v>Combo</x:v>
      </x:c>
      <x:c r="BP12"/>
      <x:c r="BQ12" s="12" t="n">
        <x:v>18974.21</x:v>
      </x:c>
      <x:c r="BR12" t="str">
        <x:v>Kilogramos</x:v>
      </x:c>
      <x:c r="BS12" s="12" t="n">
        <x:v>1</x:v>
      </x:c>
      <x:c r="BT12" s="13" t="n">
        <x:v>44.53</x:v>
      </x:c>
      <x:c r="BU12" s="13" t="n">
        <x:v>844983.4</x:v>
      </x:c>
    </x:row>
    <x:row r="13">
      <x:c r="A13" s="10" t="str">
        <x:v>LOG-202607-0012</x:v>
      </x:c>
      <x:c r="B13" s="11" t="n">
        <x:v>46231</x:v>
      </x:c>
      <x:c r="C13" s="24" t="n">
        <x:f>YEAR(B13)</x:f>
        <x:v>2026</x:v>
      </x:c>
      <x:c r="D13" s="24" t="str">
        <x:f>TEXT(B13,"yyyy-mm")</x:f>
        <x:v>2026-07</x:v>
      </x:c>
      <x:c r="E13" s="24" t="n">
        <x:f>WEEKNUM(B13,2)</x:f>
        <x:v>31</x:v>
      </x:c>
      <x:c r="F13" s="10" t="str">
        <x:v>ORIG-206</x:v>
      </x:c>
      <x:c r="G13" s="10" t="str">
        <x:v>6187</x:v>
      </x:c>
      <x:c r="H13" s="10" t="str">
        <x:v>9148</x:v>
      </x:c>
      <x:c r="I13" t="str">
        <x:v>Caña de Lomo A/V (Cj)</x:v>
      </x:c>
      <x:c r="J13" t="str">
        <x:v>Cerdo congelado</x:v>
      </x:c>
      <x:c r="K13" t="str">
        <x:v>003 Granja Calle 7</x:v>
      </x:c>
      <x:c r="L13" t="str">
        <x:v>Internacional</x:v>
      </x:c>
      <x:c r="M13" t="str">
        <x:v>Estados Unidos</x:v>
      </x:c>
      <x:c r="N13" t="str">
        <x:v>QUIRCH FOODS</x:v>
      </x:c>
      <x:c r="O13" s="10" t="str">
        <x:v>240074</x:v>
      </x:c>
      <x:c r="P13" s="10" t="str">
        <x:v>5474</x:v>
      </x:c>
      <x:c r="Q13" s="12" t="n">
        <x:v>18285.59</x:v>
      </x:c>
      <x:c r="R13" s="13" t="n">
        <x:v>945816.8</x:v>
      </x:c>
      <x:c r="S13" t="str">
        <x:v>MXN</x:v>
      </x:c>
      <x:c r="T13" s="12" t="n">
        <x:v>1</x:v>
      </x:c>
      <x:c r="U13" s="11"/>
      <x:c r="V13" s="11"/>
      <x:c r="W13" s="24" t="str">
        <x:f>IF(AND(B13&lt;&gt;"",V13&lt;&gt;""),V13-B13,"")</x:f>
      </x:c>
      <x:c r="X13"/>
      <x:c r="Y13" t="str">
        <x:v>Terrestre</x:v>
      </x:c>
      <x:c r="Z13"/>
      <x:c r="AA13"/>
      <x:c r="AB13" s="11"/>
      <x:c r="AC13" s="11"/>
      <x:c r="AD13" s="24" t="str">
        <x:f>IF(AND(AB13&lt;&gt;"",AC13&lt;&gt;""),AC13-AB13,"")</x:f>
      </x:c>
      <x:c r="AE13" s="10"/>
      <x:c r="AF13"/>
      <x:c r="AG13"/>
      <x:c r="AH13" s="25" t="str">
        <x:f>IF(AND(B13&lt;&gt;"",AG13&lt;&gt;""),B13+AG13,"")</x:f>
      </x:c>
      <x:c r="AI13"/>
      <x:c r="AJ13"/>
      <x:c r="AK13" t="str">
        <x:v>Recibido</x:v>
      </x:c>
      <x:c r="AL13" t="str">
        <x:v>Completo</x:v>
      </x:c>
      <x:c r="AM13"/>
      <x:c r="AN13" t="str">
        <x:v>Logística</x:v>
      </x:c>
      <x:c r="AO13" s="10" t="str">
        <x:v>26 24 1686 6029084</x:v>
      </x:c>
      <x:c r="AP13" s="10" t="str">
        <x:v>PG47783/26</x:v>
      </x:c>
      <x:c r="AQ13"/>
      <x:c r="AR13" s="13"/>
      <x:c r="AS13" s="26" t="n">
        <x:f>IF(R13&lt;&gt;"",MAX(0,R13-AR13),"")</x:f>
        <x:v>945816.8</x:v>
      </x:c>
      <x:c r="AT13" s="13" t="n">
        <x:v>41730.2</x:v>
      </x:c>
      <x:c r="AU13" s="13"/>
      <x:c r="AV13" s="13"/>
      <x:c r="AW13" s="13"/>
      <x:c r="AX13" s="13"/>
      <x:c r="AY13" s="26" t="n">
        <x:f>IF(R13&lt;&gt;"",R13+AT13,"")</x:f>
        <x:v>987547</x:v>
      </x:c>
      <x:c r="AZ13" s="27" t="n">
        <x:f>IF(Q13&gt;0,AY13/Q13,"")</x:f>
        <x:v>54.006843640265366</x:v>
      </x:c>
      <x:c r="BA13" s="13" t="n">
        <x:v>62</x:v>
      </x:c>
      <x:c r="BB13" s="26" t="n">
        <x:f>IF(AND(BA13&lt;&gt;"",Q13&gt;0),BA13*Q13,"")</x:f>
        <x:v>1133706.58</x:v>
      </x:c>
      <x:c r="BC13" s="26" t="n">
        <x:f>IF(AND(BB13&lt;&gt;"",AY13&lt;&gt;""),BB13-AY13,"")</x:f>
        <x:v>146159.58000000007</x:v>
      </x:c>
      <x:c r="BD13" s="26" t="n">
        <x:f>IF(AND(BA13&lt;&gt;"",AZ13&lt;&gt;""),BA13-AZ13,"")</x:f>
        <x:v>7.993156359734634</x:v>
      </x:c>
      <x:c r="BE13" s="28" t="n">
        <x:f>IF(BB13&gt;0,BC13/BB13,"")</x:f>
        <x:v>0.12892187676991348</x:v>
      </x:c>
      <x:c r="BF13" s="12"/>
      <x:c r="BG13" s="12"/>
      <x:c r="BH13"/>
      <x:c r="BI13" s="12"/>
      <x:c r="BJ13" s="12"/>
      <x:c r="BK13" s="28" t="n">
        <x:f>COUNTA(B13,G13,H13,I13,K13,M13,N13,Q13,R13,Y13,AE13,AF13,AI13,AK13)/14</x:f>
        <x:v>0.7857142857142857</x:v>
      </x:c>
      <x:c r="BL13" s="24" t="str">
        <x:f>IF(M13="","Falta país",IF(AE13="","Falta fracción",IF(AF13="","Falta Incoterm",IF(W13="","Falta tránsito",IF(X13="","Falta naviera",IF(AND(M13="Estados Unidos",AI13=""),"Falta inspección EE. UU.","Completo"))))))</x:f>
        <x:v>Falta fracción</x:v>
      </x:c>
      <x:c r="BM13" t="str">
        <x:v>001 Matriz</x:v>
      </x:c>
      <x:c r="BN13" t="str">
        <x:v>Porcino</x:v>
      </x:c>
      <x:c r="BO13" t="str">
        <x:v>Caja</x:v>
      </x:c>
      <x:c r="BP13"/>
      <x:c r="BQ13" s="12" t="n">
        <x:v>18285.59</x:v>
      </x:c>
      <x:c r="BR13" t="str">
        <x:v>Kilogramos</x:v>
      </x:c>
      <x:c r="BS13" s="12" t="n">
        <x:v>1</x:v>
      </x:c>
      <x:c r="BT13" s="13" t="n">
        <x:v>51.72</x:v>
      </x:c>
      <x:c r="BU13" s="13" t="n">
        <x:v>945816.8</x:v>
      </x:c>
    </x:row>
    <x:row r="14">
      <x:c r="A14" s="10" t="str">
        <x:v>LOG-202607-0013</x:v>
      </x:c>
      <x:c r="B14" s="11" t="n">
        <x:v>46230</x:v>
      </x:c>
      <x:c r="C14" s="24" t="n">
        <x:f>YEAR(B14)</x:f>
        <x:v>2026</x:v>
      </x:c>
      <x:c r="D14" s="24" t="str">
        <x:f>TEXT(B14,"yyyy-mm")</x:f>
        <x:v>2026-07</x:v>
      </x:c>
      <x:c r="E14" s="24" t="n">
        <x:f>WEEKNUM(B14,2)</x:f>
        <x:v>31</x:v>
      </x:c>
      <x:c r="F14" s="10" t="str">
        <x:v>ORIG-270</x:v>
      </x:c>
      <x:c r="G14" s="10" t="str">
        <x:v>6205</x:v>
      </x:c>
      <x:c r="H14" s="10" t="str">
        <x:v>9172</x:v>
      </x:c>
      <x:c r="I14" t="str">
        <x:v>Codillo S/Perico (Cj)</x:v>
      </x:c>
      <x:c r="J14" t="str">
        <x:v>Cerdo congelado</x:v>
      </x:c>
      <x:c r="K14" t="str">
        <x:v>003 Granja Calle 7</x:v>
      </x:c>
      <x:c r="L14" t="str">
        <x:v>Internacional</x:v>
      </x:c>
      <x:c r="M14"/>
      <x:c r="N14" t="str">
        <x:v>MASTER AGROINDUSTRIAL</x:v>
      </x:c>
      <x:c r="O14" s="10" t="str">
        <x:v>260709</x:v>
      </x:c>
      <x:c r="P14" s="10" t="str">
        <x:v>5429</x:v>
      </x:c>
      <x:c r="Q14" s="12" t="n">
        <x:v>24996.33</x:v>
      </x:c>
      <x:c r="R14" s="13" t="n">
        <x:v>506367.15</x:v>
      </x:c>
      <x:c r="S14" t="str">
        <x:v>MXN</x:v>
      </x:c>
      <x:c r="T14" s="12" t="n">
        <x:v>1</x:v>
      </x:c>
      <x:c r="U14" s="11"/>
      <x:c r="V14" s="11"/>
      <x:c r="W14" s="24" t="str">
        <x:f>IF(AND(B14&lt;&gt;"",V14&lt;&gt;""),V14-B14,"")</x:f>
      </x:c>
      <x:c r="X14"/>
      <x:c r="Y14"/>
      <x:c r="Z14"/>
      <x:c r="AA14"/>
      <x:c r="AB14" s="11"/>
      <x:c r="AC14" s="11"/>
      <x:c r="AD14" s="24" t="str">
        <x:f>IF(AND(AB14&lt;&gt;"",AC14&lt;&gt;""),AC14-AB14,"")</x:f>
      </x:c>
      <x:c r="AE14" s="10"/>
      <x:c r="AF14"/>
      <x:c r="AG14"/>
      <x:c r="AH14" s="25" t="str">
        <x:f>IF(AND(B14&lt;&gt;"",AG14&lt;&gt;""),B14+AG14,"")</x:f>
      </x:c>
      <x:c r="AI14"/>
      <x:c r="AJ14"/>
      <x:c r="AK14" t="str">
        <x:v>Recibido</x:v>
      </x:c>
      <x:c r="AL14"/>
      <x:c r="AM14"/>
      <x:c r="AN14"/>
      <x:c r="AO14" s="10"/>
      <x:c r="AP14" s="10"/>
      <x:c r="AQ14"/>
      <x:c r="AR14" s="13"/>
      <x:c r="AS14" s="26" t="n">
        <x:f>IF(R14&lt;&gt;"",MAX(0,R14-AR14),"")</x:f>
        <x:v>506367.15</x:v>
      </x:c>
      <x:c r="AT14" s="13"/>
      <x:c r="AU14" s="13"/>
      <x:c r="AV14" s="13"/>
      <x:c r="AW14" s="13"/>
      <x:c r="AX14" s="13"/>
      <x:c r="AY14" s="26" t="n">
        <x:f>IF(R14&lt;&gt;"",R14+AT14,"")</x:f>
        <x:v>506367.15</x:v>
      </x:c>
      <x:c r="AZ14" s="27" t="n">
        <x:f>IF(Q14&gt;0,AY14/Q14,"")</x:f>
        <x:v>20.25765982446223</x:v>
      </x:c>
      <x:c r="BA14" s="13"/>
      <x:c r="BB14" s="26" t="str">
        <x:f>IF(AND(BA14&lt;&gt;"",Q14&gt;0),BA14*Q14,"")</x:f>
      </x:c>
      <x:c r="BC14" s="26" t="str">
        <x:f>IF(AND(BB14&lt;&gt;"",AY14&lt;&gt;""),BB14-AY14,"")</x:f>
      </x:c>
      <x:c r="BD14" s="26" t="str">
        <x:f>IF(AND(BA14&lt;&gt;"",AZ14&lt;&gt;""),BA14-AZ14,"")</x:f>
      </x:c>
      <x:c r="BE14" s="28" t="str">
        <x:f>IF(BB14&gt;0,BC14/BB14,"")</x:f>
      </x:c>
      <x:c r="BF14" s="12"/>
      <x:c r="BG14" s="12"/>
      <x:c r="BH14"/>
      <x:c r="BI14" s="12"/>
      <x:c r="BJ14" s="12"/>
      <x:c r="BK14" s="28" t="n">
        <x:f>COUNTA(B14,G14,H14,I14,K14,M14,N14,Q14,R14,Y14,AE14,AF14,AI14,AK14)/14</x:f>
        <x:v>0.6428571428571429</x:v>
      </x:c>
      <x:c r="BL14" s="24" t="str">
        <x:f>IF(M14="","Falta país",IF(AE14="","Falta fracción",IF(AF14="","Falta Incoterm",IF(W14="","Falta tránsito",IF(X14="","Falta naviera",IF(AND(M14="Estados Unidos",AI14=""),"Falta inspección EE. UU.","Completo"))))))</x:f>
        <x:v>Falta país</x:v>
      </x:c>
      <x:c r="BM14" t="str">
        <x:v>001 Matriz</x:v>
      </x:c>
      <x:c r="BN14" t="str">
        <x:v>Porcino</x:v>
      </x:c>
      <x:c r="BO14" t="str">
        <x:v>Caja</x:v>
      </x:c>
      <x:c r="BP14"/>
      <x:c r="BQ14" s="12" t="n">
        <x:v>24996.33</x:v>
      </x:c>
      <x:c r="BR14" t="str">
        <x:v>Kilogramos</x:v>
      </x:c>
      <x:c r="BS14" s="12" t="n">
        <x:v>1</x:v>
      </x:c>
      <x:c r="BT14" s="13" t="n">
        <x:v>20.26</x:v>
      </x:c>
      <x:c r="BU14" s="13" t="n">
        <x:v>506367.15</x:v>
      </x:c>
    </x:row>
    <x:row r="15">
      <x:c r="A15" s="10" t="str">
        <x:v>LOG-202607-0014</x:v>
      </x:c>
      <x:c r="B15" s="11" t="n">
        <x:v>46230</x:v>
      </x:c>
      <x:c r="C15" s="24" t="n">
        <x:f>YEAR(B15)</x:f>
        <x:v>2026</x:v>
      </x:c>
      <x:c r="D15" s="24" t="str">
        <x:f>TEXT(B15,"yyyy-mm")</x:f>
        <x:v>2026-07</x:v>
      </x:c>
      <x:c r="E15" s="24" t="n">
        <x:f>WEEKNUM(B15,2)</x:f>
        <x:v>31</x:v>
      </x:c>
      <x:c r="F15" s="10" t="str">
        <x:v>ORIG-278</x:v>
      </x:c>
      <x:c r="G15" s="10" t="str">
        <x:v>6183</x:v>
      </x:c>
      <x:c r="H15" s="10" t="str">
        <x:v>9265</x:v>
      </x:c>
      <x:c r="I15" t="str">
        <x:v>Picnic (Cb)</x:v>
      </x:c>
      <x:c r="J15" t="str">
        <x:v>Cerdo congelado</x:v>
      </x:c>
      <x:c r="K15" t="str">
        <x:v>003 Granja Calle 7</x:v>
      </x:c>
      <x:c r="L15" t="str">
        <x:v>Internacional</x:v>
      </x:c>
      <x:c r="M15" t="str">
        <x:v>Estados Unidos</x:v>
      </x:c>
      <x:c r="N15" t="str">
        <x:v>NORTHERN BEEF INDUSTRIES</x:v>
      </x:c>
      <x:c r="O15" s="10" t="str">
        <x:v>67448</x:v>
      </x:c>
      <x:c r="P15" s="10" t="str">
        <x:v>5467</x:v>
      </x:c>
      <x:c r="Q15" s="12" t="n">
        <x:v>18666.43</x:v>
      </x:c>
      <x:c r="R15" s="13" t="n">
        <x:v>833643.24</x:v>
      </x:c>
      <x:c r="S15" t="str">
        <x:v>MXN</x:v>
      </x:c>
      <x:c r="T15" s="12" t="n">
        <x:v>1</x:v>
      </x:c>
      <x:c r="U15" s="11"/>
      <x:c r="V15" s="11"/>
      <x:c r="W15" s="24" t="str">
        <x:f>IF(AND(B15&lt;&gt;"",V15&lt;&gt;""),V15-B15,"")</x:f>
      </x:c>
      <x:c r="X15"/>
      <x:c r="Y15" t="str">
        <x:v>Terrestre</x:v>
      </x:c>
      <x:c r="Z15"/>
      <x:c r="AA15"/>
      <x:c r="AB15" s="11"/>
      <x:c r="AC15" s="11"/>
      <x:c r="AD15" s="24" t="str">
        <x:f>IF(AND(AB15&lt;&gt;"",AC15&lt;&gt;""),AC15-AB15,"")</x:f>
      </x:c>
      <x:c r="AE15" s="10"/>
      <x:c r="AF15"/>
      <x:c r="AG15"/>
      <x:c r="AH15" s="25" t="str">
        <x:f>IF(AND(B15&lt;&gt;"",AG15&lt;&gt;""),B15+AG15,"")</x:f>
      </x:c>
      <x:c r="AI15"/>
      <x:c r="AJ15"/>
      <x:c r="AK15" t="str">
        <x:v>Recibido</x:v>
      </x:c>
      <x:c r="AL15" t="str">
        <x:v>Completo</x:v>
      </x:c>
      <x:c r="AM15"/>
      <x:c r="AN15" t="str">
        <x:v>Logística</x:v>
      </x:c>
      <x:c r="AO15" s="10" t="str">
        <x:v>26 24 1686 6028784</x:v>
      </x:c>
      <x:c r="AP15" s="10" t="str">
        <x:v>PG47042/26</x:v>
      </x:c>
      <x:c r="AQ15"/>
      <x:c r="AR15" s="13"/>
      <x:c r="AS15" s="26" t="n">
        <x:f>IF(R15&lt;&gt;"",MAX(0,R15-AR15),"")</x:f>
        <x:v>833643.24</x:v>
      </x:c>
      <x:c r="AT15" s="13" t="n">
        <x:v>40610.2</x:v>
      </x:c>
      <x:c r="AU15" s="13"/>
      <x:c r="AV15" s="13"/>
      <x:c r="AW15" s="13"/>
      <x:c r="AX15" s="13"/>
      <x:c r="AY15" s="26" t="n">
        <x:f>IF(R15&lt;&gt;"",R15+AT15,"")</x:f>
        <x:v>874253.44</x:v>
      </x:c>
      <x:c r="AZ15" s="27" t="n">
        <x:f>IF(Q15&gt;0,AY15/Q15,"")</x:f>
        <x:v>46.83559952277966</x:v>
      </x:c>
      <x:c r="BA15" s="13" t="n">
        <x:v>56</x:v>
      </x:c>
      <x:c r="BB15" s="26" t="n">
        <x:f>IF(AND(BA15&lt;&gt;"",Q15&gt;0),BA15*Q15,"")</x:f>
        <x:v>1045320.0800000001</x:v>
      </x:c>
      <x:c r="BC15" s="26" t="n">
        <x:f>IF(AND(BB15&lt;&gt;"",AY15&lt;&gt;""),BB15-AY15,"")</x:f>
        <x:v>171066.64000000013</x:v>
      </x:c>
      <x:c r="BD15" s="26" t="n">
        <x:f>IF(AND(BA15&lt;&gt;"",AZ15&lt;&gt;""),BA15-AZ15,"")</x:f>
        <x:v>9.16440047722034</x:v>
      </x:c>
      <x:c r="BE15" s="28" t="n">
        <x:f>IF(BB15&gt;0,BC15/BB15,"")</x:f>
        <x:v>0.16365000852179182</x:v>
      </x:c>
      <x:c r="BF15" s="12"/>
      <x:c r="BG15" s="12"/>
      <x:c r="BH15"/>
      <x:c r="BI15" s="12"/>
      <x:c r="BJ15" s="12"/>
      <x:c r="BK15" s="28" t="n">
        <x:f>COUNTA(B15,G15,H15,I15,K15,M15,N15,Q15,R15,Y15,AE15,AF15,AI15,AK15)/14</x:f>
        <x:v>0.7857142857142857</x:v>
      </x:c>
      <x:c r="BL15" s="24" t="str">
        <x:f>IF(M15="","Falta país",IF(AE15="","Falta fracción",IF(AF15="","Falta Incoterm",IF(W15="","Falta tránsito",IF(X15="","Falta naviera",IF(AND(M15="Estados Unidos",AI15=""),"Falta inspección EE. UU.","Completo"))))))</x:f>
        <x:v>Falta fracción</x:v>
      </x:c>
      <x:c r="BM15" t="str">
        <x:v>001 Matriz</x:v>
      </x:c>
      <x:c r="BN15" t="str">
        <x:v>Porcino</x:v>
      </x:c>
      <x:c r="BO15" t="str">
        <x:v>Combo</x:v>
      </x:c>
      <x:c r="BP15"/>
      <x:c r="BQ15" s="12" t="n">
        <x:v>18666.43</x:v>
      </x:c>
      <x:c r="BR15" t="str">
        <x:v>Kilogramos</x:v>
      </x:c>
      <x:c r="BS15" s="12" t="n">
        <x:v>1</x:v>
      </x:c>
      <x:c r="BT15" s="13" t="n">
        <x:v>44.66</x:v>
      </x:c>
      <x:c r="BU15" s="13" t="n">
        <x:v>833643.24</x:v>
      </x:c>
    </x:row>
    <x:row r="16">
      <x:c r="A16" s="10" t="str">
        <x:v>LOG-202607-0015</x:v>
      </x:c>
      <x:c r="B16" s="11" t="n">
        <x:v>46227</x:v>
      </x:c>
      <x:c r="C16" s="24" t="n">
        <x:f>YEAR(B16)</x:f>
        <x:v>2026</x:v>
      </x:c>
      <x:c r="D16" s="24" t="str">
        <x:f>TEXT(B16,"yyyy-mm")</x:f>
        <x:v>2026-07</x:v>
      </x:c>
      <x:c r="E16" s="24" t="n">
        <x:f>WEEKNUM(B16,2)</x:f>
        <x:v>30</x:v>
      </x:c>
      <x:c r="F16" s="10" t="str">
        <x:v>ORIG-389</x:v>
      </x:c>
      <x:c r="G16" s="10" t="str">
        <x:v>6185</x:v>
      </x:c>
      <x:c r="H16" s="10" t="str">
        <x:v>9270</x:v>
      </x:c>
      <x:c r="I16" t="str">
        <x:v>Pierna de Cerdo (Cb)</x:v>
      </x:c>
      <x:c r="J16" t="str">
        <x:v>Cerdo congelado</x:v>
      </x:c>
      <x:c r="K16" t="str">
        <x:v>003 Granja Calle 7</x:v>
      </x:c>
      <x:c r="L16" t="str">
        <x:v>Internacional</x:v>
      </x:c>
      <x:c r="M16" t="str">
        <x:v>Canadá</x:v>
      </x:c>
      <x:c r="N16" t="str">
        <x:v>CANADA PACKERS INC</x:v>
      </x:c>
      <x:c r="O16" s="10" t="str">
        <x:v>9601940461</x:v>
      </x:c>
      <x:c r="P16" s="10" t="str">
        <x:v>5370</x:v>
      </x:c>
      <x:c r="Q16" s="12" t="n">
        <x:v>18856.21</x:v>
      </x:c>
      <x:c r="R16" s="13" t="n">
        <x:v>854698.32</x:v>
      </x:c>
      <x:c r="S16" t="str">
        <x:v>MXN</x:v>
      </x:c>
      <x:c r="T16" s="12" t="n">
        <x:v>1</x:v>
      </x:c>
      <x:c r="U16" s="11"/>
      <x:c r="V16" s="11"/>
      <x:c r="W16" s="24" t="str">
        <x:f>IF(AND(B16&lt;&gt;"",V16&lt;&gt;""),V16-B16,"")</x:f>
      </x:c>
      <x:c r="X16"/>
      <x:c r="Y16" t="str">
        <x:v>Terrestre</x:v>
      </x:c>
      <x:c r="Z16"/>
      <x:c r="AA16"/>
      <x:c r="AB16" s="11"/>
      <x:c r="AC16" s="11"/>
      <x:c r="AD16" s="24" t="str">
        <x:f>IF(AND(AB16&lt;&gt;"",AC16&lt;&gt;""),AC16-AB16,"")</x:f>
      </x:c>
      <x:c r="AE16" s="10"/>
      <x:c r="AF16"/>
      <x:c r="AG16"/>
      <x:c r="AH16" s="25" t="str">
        <x:f>IF(AND(B16&lt;&gt;"",AG16&lt;&gt;""),B16+AG16,"")</x:f>
      </x:c>
      <x:c r="AI16" t="str">
        <x:v>No aplica</x:v>
      </x:c>
      <x:c r="AJ16"/>
      <x:c r="AK16" t="str">
        <x:v>Recibido</x:v>
      </x:c>
      <x:c r="AL16" t="str">
        <x:v>Completo</x:v>
      </x:c>
      <x:c r="AM16"/>
      <x:c r="AN16" t="str">
        <x:v>Logística</x:v>
      </x:c>
      <x:c r="AO16" s="10" t="str">
        <x:v>26 24 1686 6028902</x:v>
      </x:c>
      <x:c r="AP16" s="10" t="str">
        <x:v>PG47469/26</x:v>
      </x:c>
      <x:c r="AQ16"/>
      <x:c r="AR16" s="13"/>
      <x:c r="AS16" s="26" t="n">
        <x:f>IF(R16&lt;&gt;"",MAX(0,R16-AR16),"")</x:f>
        <x:v>854698.32</x:v>
      </x:c>
      <x:c r="AT16" s="13" t="n">
        <x:v>40610.2</x:v>
      </x:c>
      <x:c r="AU16" s="13"/>
      <x:c r="AV16" s="13"/>
      <x:c r="AW16" s="13"/>
      <x:c r="AX16" s="13"/>
      <x:c r="AY16" s="26" t="n">
        <x:f>IF(R16&lt;&gt;"",R16+AT16,"")</x:f>
        <x:v>895308.5199999999</x:v>
      </x:c>
      <x:c r="AZ16" s="27" t="n">
        <x:f>IF(Q16&gt;0,AY16/Q16,"")</x:f>
        <x:v>47.48083098353274</x:v>
      </x:c>
      <x:c r="BA16" s="13" t="n">
        <x:v>45</x:v>
      </x:c>
      <x:c r="BB16" s="26" t="n">
        <x:f>IF(AND(BA16&lt;&gt;"",Q16&gt;0),BA16*Q16,"")</x:f>
        <x:v>848529.45</x:v>
      </x:c>
      <x:c r="BC16" s="26" t="n">
        <x:f>IF(AND(BB16&lt;&gt;"",AY16&lt;&gt;""),BB16-AY16,"")</x:f>
        <x:v>-46779.06999999995</x:v>
      </x:c>
      <x:c r="BD16" s="26" t="n">
        <x:f>IF(AND(BA16&lt;&gt;"",AZ16&lt;&gt;""),BA16-AZ16,"")</x:f>
        <x:v>-2.4808309835327407</x:v>
      </x:c>
      <x:c r="BE16" s="28" t="n">
        <x:f>IF(BB16&gt;0,BC16/BB16,"")</x:f>
        <x:v>-0.05512957741183874</x:v>
      </x:c>
      <x:c r="BF16" s="12"/>
      <x:c r="BG16" s="12"/>
      <x:c r="BH16"/>
      <x:c r="BI16" s="12"/>
      <x:c r="BJ16" s="12"/>
      <x:c r="BK16" s="28" t="n">
        <x:f>COUNTA(B16,G16,H16,I16,K16,M16,N16,Q16,R16,Y16,AE16,AF16,AI16,AK16)/14</x:f>
        <x:v>0.8571428571428571</x:v>
      </x:c>
      <x:c r="BL16" s="24" t="str">
        <x:f>IF(M16="","Falta país",IF(AE16="","Falta fracción",IF(AF16="","Falta Incoterm",IF(W16="","Falta tránsito",IF(X16="","Falta naviera",IF(AND(M16="Estados Unidos",AI16=""),"Falta inspección EE. UU.","Completo"))))))</x:f>
        <x:v>Falta fracción</x:v>
      </x:c>
      <x:c r="BM16" t="str">
        <x:v>001 Matriz</x:v>
      </x:c>
      <x:c r="BN16" t="str">
        <x:v>Porcino</x:v>
      </x:c>
      <x:c r="BO16" t="str">
        <x:v>Combo</x:v>
      </x:c>
      <x:c r="BP16"/>
      <x:c r="BQ16" s="12" t="n">
        <x:v>18856.21</x:v>
      </x:c>
      <x:c r="BR16" t="str">
        <x:v>Kilogramos</x:v>
      </x:c>
      <x:c r="BS16" s="12" t="n">
        <x:v>1</x:v>
      </x:c>
      <x:c r="BT16" s="13" t="n">
        <x:v>45.33</x:v>
      </x:c>
      <x:c r="BU16" s="13" t="n">
        <x:v>854698.32</x:v>
      </x:c>
    </x:row>
    <x:row r="17">
      <x:c r="A17" s="10" t="str">
        <x:v>LOG-202607-0016</x:v>
      </x:c>
      <x:c r="B17" s="11" t="n">
        <x:v>46227</x:v>
      </x:c>
      <x:c r="C17" s="24" t="n">
        <x:f>YEAR(B17)</x:f>
        <x:v>2026</x:v>
      </x:c>
      <x:c r="D17" s="24" t="str">
        <x:f>TEXT(B17,"yyyy-mm")</x:f>
        <x:v>2026-07</x:v>
      </x:c>
      <x:c r="E17" s="24" t="n">
        <x:f>WEEKNUM(B17,2)</x:f>
        <x:v>30</x:v>
      </x:c>
      <x:c r="F17" s="10" t="str">
        <x:v>ORIG-409</x:v>
      </x:c>
      <x:c r="G17" s="10" t="str">
        <x:v>6184</x:v>
      </x:c>
      <x:c r="H17" s="10" t="str">
        <x:v>9270</x:v>
      </x:c>
      <x:c r="I17" t="str">
        <x:v>Pierna de Cerdo (Cb)</x:v>
      </x:c>
      <x:c r="J17" t="str">
        <x:v>Cerdo congelado</x:v>
      </x:c>
      <x:c r="K17" t="str">
        <x:v>003 Granja Calle 7</x:v>
      </x:c>
      <x:c r="L17" t="str">
        <x:v>Internacional</x:v>
      </x:c>
      <x:c r="M17" t="str">
        <x:v>Canadá</x:v>
      </x:c>
      <x:c r="N17" t="str">
        <x:v>BMG TRADING</x:v>
      </x:c>
      <x:c r="O17" s="10" t="str">
        <x:v>11656</x:v>
      </x:c>
      <x:c r="P17" s="10" t="str">
        <x:v>5415</x:v>
      </x:c>
      <x:c r="Q17" s="12" t="n">
        <x:v>18127.88</x:v>
      </x:c>
      <x:c r="R17" s="13" t="n">
        <x:v>846181.74</x:v>
      </x:c>
      <x:c r="S17" t="str">
        <x:v>MXN</x:v>
      </x:c>
      <x:c r="T17" s="12" t="n">
        <x:v>1</x:v>
      </x:c>
      <x:c r="U17" s="11"/>
      <x:c r="V17" s="11"/>
      <x:c r="W17" s="24" t="str">
        <x:f>IF(AND(B17&lt;&gt;"",V17&lt;&gt;""),V17-B17,"")</x:f>
      </x:c>
      <x:c r="X17"/>
      <x:c r="Y17" t="str">
        <x:v>Terrestre</x:v>
      </x:c>
      <x:c r="Z17"/>
      <x:c r="AA17"/>
      <x:c r="AB17" s="11"/>
      <x:c r="AC17" s="11"/>
      <x:c r="AD17" s="24" t="str">
        <x:f>IF(AND(AB17&lt;&gt;"",AC17&lt;&gt;""),AC17-AB17,"")</x:f>
      </x:c>
      <x:c r="AE17" s="10"/>
      <x:c r="AF17"/>
      <x:c r="AG17"/>
      <x:c r="AH17" s="25" t="str">
        <x:f>IF(AND(B17&lt;&gt;"",AG17&lt;&gt;""),B17+AG17,"")</x:f>
      </x:c>
      <x:c r="AI17" t="str">
        <x:v>No aplica</x:v>
      </x:c>
      <x:c r="AJ17"/>
      <x:c r="AK17" t="str">
        <x:v>Recibido</x:v>
      </x:c>
      <x:c r="AL17" t="str">
        <x:v>Completo</x:v>
      </x:c>
      <x:c r="AM17"/>
      <x:c r="AN17" t="str">
        <x:v>Logística</x:v>
      </x:c>
      <x:c r="AO17" s="10" t="str">
        <x:v>26 24 1686 6028805</x:v>
      </x:c>
      <x:c r="AP17" s="10" t="str">
        <x:v>PG47105/26</x:v>
      </x:c>
      <x:c r="AQ17"/>
      <x:c r="AR17" s="13"/>
      <x:c r="AS17" s="26" t="n">
        <x:f>IF(R17&lt;&gt;"",MAX(0,R17-AR17),"")</x:f>
        <x:v>846181.74</x:v>
      </x:c>
      <x:c r="AT17" s="13" t="n">
        <x:v>43610.2</x:v>
      </x:c>
      <x:c r="AU17" s="13"/>
      <x:c r="AV17" s="13"/>
      <x:c r="AW17" s="13"/>
      <x:c r="AX17" s="13"/>
      <x:c r="AY17" s="26" t="n">
        <x:f>IF(R17&lt;&gt;"",R17+AT17,"")</x:f>
        <x:v>889791.94</x:v>
      </x:c>
      <x:c r="AZ17" s="27" t="n">
        <x:f>IF(Q17&gt;0,AY17/Q17,"")</x:f>
        <x:v>49.084169798123106</x:v>
      </x:c>
      <x:c r="BA17" s="13" t="n">
        <x:v>45</x:v>
      </x:c>
      <x:c r="BB17" s="26" t="n">
        <x:f>IF(AND(BA17&lt;&gt;"",Q17&gt;0),BA17*Q17,"")</x:f>
        <x:v>815754.6000000001</x:v>
      </x:c>
      <x:c r="BC17" s="26" t="n">
        <x:f>IF(AND(BB17&lt;&gt;"",AY17&lt;&gt;""),BB17-AY17,"")</x:f>
        <x:v>-74037.33999999985</x:v>
      </x:c>
      <x:c r="BD17" s="26" t="n">
        <x:f>IF(AND(BA17&lt;&gt;"",AZ17&lt;&gt;""),BA17-AZ17,"")</x:f>
        <x:v>-4.084169798123106</x:v>
      </x:c>
      <x:c r="BE17" s="28" t="n">
        <x:f>IF(BB17&gt;0,BC17/BB17,"")</x:f>
        <x:v>-0.09075932884718008</x:v>
      </x:c>
      <x:c r="BF17" s="12"/>
      <x:c r="BG17" s="12"/>
      <x:c r="BH17"/>
      <x:c r="BI17" s="12"/>
      <x:c r="BJ17" s="12"/>
      <x:c r="BK17" s="28" t="n">
        <x:f>COUNTA(B17,G17,H17,I17,K17,M17,N17,Q17,R17,Y17,AE17,AF17,AI17,AK17)/14</x:f>
        <x:v>0.8571428571428571</x:v>
      </x:c>
      <x:c r="BL17" s="24" t="str">
        <x:f>IF(M17="","Falta país",IF(AE17="","Falta fracción",IF(AF17="","Falta Incoterm",IF(W17="","Falta tránsito",IF(X17="","Falta naviera",IF(AND(M17="Estados Unidos",AI17=""),"Falta inspección EE. UU.","Completo"))))))</x:f>
        <x:v>Falta fracción</x:v>
      </x:c>
      <x:c r="BM17" t="str">
        <x:v>001 Matriz</x:v>
      </x:c>
      <x:c r="BN17" t="str">
        <x:v>Porcino</x:v>
      </x:c>
      <x:c r="BO17" t="str">
        <x:v>Combo</x:v>
      </x:c>
      <x:c r="BP17"/>
      <x:c r="BQ17" s="12" t="n">
        <x:v>18127.88</x:v>
      </x:c>
      <x:c r="BR17" t="str">
        <x:v>Kilogramos</x:v>
      </x:c>
      <x:c r="BS17" s="12" t="n">
        <x:v>1</x:v>
      </x:c>
      <x:c r="BT17" s="13" t="n">
        <x:v>46.68</x:v>
      </x:c>
      <x:c r="BU17" s="13" t="n">
        <x:v>846181.74</x:v>
      </x:c>
    </x:row>
    <x:row r="18">
      <x:c r="A18" s="10" t="str">
        <x:v>LOG-202607-0017</x:v>
      </x:c>
      <x:c r="B18" s="11" t="n">
        <x:v>46225</x:v>
      </x:c>
      <x:c r="C18" s="24" t="n">
        <x:f>YEAR(B18)</x:f>
        <x:v>2026</x:v>
      </x:c>
      <x:c r="D18" s="24" t="str">
        <x:f>TEXT(B18,"yyyy-mm")</x:f>
        <x:v>2026-07</x:v>
      </x:c>
      <x:c r="E18" s="24" t="n">
        <x:f>WEEKNUM(B18,2)</x:f>
        <x:v>30</x:v>
      </x:c>
      <x:c r="F18" s="10" t="str">
        <x:v>ORIG-536</x:v>
      </x:c>
      <x:c r="G18" s="10" t="str">
        <x:v>6179</x:v>
      </x:c>
      <x:c r="H18" s="10" t="str">
        <x:v>9028</x:v>
      </x:c>
      <x:c r="I18" t="str">
        <x:v>Menudo Americano National (Cj)</x:v>
      </x:c>
      <x:c r="J18" t="str">
        <x:v>Res congelada</x:v>
      </x:c>
      <x:c r="K18" t="str">
        <x:v>003 Granja Calle 7</x:v>
      </x:c>
      <x:c r="L18" t="str">
        <x:v>Internacional</x:v>
      </x:c>
      <x:c r="M18" t="str">
        <x:v>Estados Unidos</x:v>
      </x:c>
      <x:c r="N18" t="str">
        <x:v>NORTHERN BEEF INDUSTRIES</x:v>
      </x:c>
      <x:c r="O18" s="10" t="str">
        <x:v>67413</x:v>
      </x:c>
      <x:c r="P18" s="10" t="str">
        <x:v>5458</x:v>
      </x:c>
      <x:c r="Q18" s="12" t="n">
        <x:v>18778.92</x:v>
      </x:c>
      <x:c r="R18" s="13" t="n">
        <x:v>1548551.49</x:v>
      </x:c>
      <x:c r="S18" t="str">
        <x:v>MXN</x:v>
      </x:c>
      <x:c r="T18" s="12" t="n">
        <x:v>1</x:v>
      </x:c>
      <x:c r="U18" s="11"/>
      <x:c r="V18" s="11"/>
      <x:c r="W18" s="24" t="str">
        <x:f>IF(AND(B18&lt;&gt;"",V18&lt;&gt;""),V18-B18,"")</x:f>
      </x:c>
      <x:c r="X18"/>
      <x:c r="Y18" t="str">
        <x:v>Terrestre</x:v>
      </x:c>
      <x:c r="Z18"/>
      <x:c r="AA18"/>
      <x:c r="AB18" s="11"/>
      <x:c r="AC18" s="11"/>
      <x:c r="AD18" s="24" t="str">
        <x:f>IF(AND(AB18&lt;&gt;"",AC18&lt;&gt;""),AC18-AB18,"")</x:f>
      </x:c>
      <x:c r="AE18" s="10"/>
      <x:c r="AF18"/>
      <x:c r="AG18"/>
      <x:c r="AH18" s="25" t="str">
        <x:f>IF(AND(B18&lt;&gt;"",AG18&lt;&gt;""),B18+AG18,"")</x:f>
      </x:c>
      <x:c r="AI18"/>
      <x:c r="AJ18"/>
      <x:c r="AK18" t="str">
        <x:v>Recibido</x:v>
      </x:c>
      <x:c r="AL18" t="str">
        <x:v>Completo</x:v>
      </x:c>
      <x:c r="AM18"/>
      <x:c r="AN18" t="str">
        <x:v>Logística</x:v>
      </x:c>
      <x:c r="AO18" s="10" t="str">
        <x:v>26 24 1686 6028240</x:v>
      </x:c>
      <x:c r="AP18" s="10" t="str">
        <x:v>PG46261/26</x:v>
      </x:c>
      <x:c r="AQ18"/>
      <x:c r="AR18" s="13"/>
      <x:c r="AS18" s="26" t="n">
        <x:f>IF(R18&lt;&gt;"",MAX(0,R18-AR18),"")</x:f>
        <x:v>1548551.49</x:v>
      </x:c>
      <x:c r="AT18" s="13" t="n">
        <x:v>40610.2</x:v>
      </x:c>
      <x:c r="AU18" s="13"/>
      <x:c r="AV18" s="13"/>
      <x:c r="AW18" s="13"/>
      <x:c r="AX18" s="13"/>
      <x:c r="AY18" s="26" t="n">
        <x:f>IF(R18&lt;&gt;"",R18+AT18,"")</x:f>
        <x:v>1589161.69</x:v>
      </x:c>
      <x:c r="AZ18" s="27" t="n">
        <x:f>IF(Q18&gt;0,AY18/Q18,"")</x:f>
        <x:v>84.62476489595781</x:v>
      </x:c>
      <x:c r="BA18" s="13" t="n">
        <x:v>95</x:v>
      </x:c>
      <x:c r="BB18" s="26" t="n">
        <x:f>IF(AND(BA18&lt;&gt;"",Q18&gt;0),BA18*Q18,"")</x:f>
        <x:v>1783997.4</x:v>
      </x:c>
      <x:c r="BC18" s="26" t="n">
        <x:f>IF(AND(BB18&lt;&gt;"",AY18&lt;&gt;""),BB18-AY18,"")</x:f>
        <x:v>194835.70999999996</x:v>
      </x:c>
      <x:c r="BD18" s="26" t="n">
        <x:f>IF(AND(BA18&lt;&gt;"",AZ18&lt;&gt;""),BA18-AZ18,"")</x:f>
        <x:v>10.37523510404219</x:v>
      </x:c>
      <x:c r="BE18" s="28" t="n">
        <x:f>IF(BB18&gt;0,BC18/BB18,"")</x:f>
        <x:v>0.10921300109518095</x:v>
      </x:c>
      <x:c r="BF18" s="12"/>
      <x:c r="BG18" s="12"/>
      <x:c r="BH18"/>
      <x:c r="BI18" s="12"/>
      <x:c r="BJ18" s="12"/>
      <x:c r="BK18" s="28" t="n">
        <x:f>COUNTA(B18,G18,H18,I18,K18,M18,N18,Q18,R18,Y18,AE18,AF18,AI18,AK18)/14</x:f>
        <x:v>0.7857142857142857</x:v>
      </x:c>
      <x:c r="BL18" s="24" t="str">
        <x:f>IF(M18="","Falta país",IF(AE18="","Falta fracción",IF(AF18="","Falta Incoterm",IF(W18="","Falta tránsito",IF(X18="","Falta naviera",IF(AND(M18="Estados Unidos",AI18=""),"Falta inspección EE. UU.","Completo"))))))</x:f>
        <x:v>Falta fracción</x:v>
      </x:c>
      <x:c r="BM18" t="str">
        <x:v>001 Matriz</x:v>
      </x:c>
      <x:c r="BN18" t="str">
        <x:v>Bovino</x:v>
      </x:c>
      <x:c r="BO18" t="str">
        <x:v>Caja</x:v>
      </x:c>
      <x:c r="BP18"/>
      <x:c r="BQ18" s="12" t="n">
        <x:v>18778.92</x:v>
      </x:c>
      <x:c r="BR18" t="str">
        <x:v>Kilogramos</x:v>
      </x:c>
      <x:c r="BS18" s="12" t="n">
        <x:v>1</x:v>
      </x:c>
      <x:c r="BT18" s="13" t="n">
        <x:v>82.46</x:v>
      </x:c>
      <x:c r="BU18" s="13" t="n">
        <x:v>1548551.49</x:v>
      </x:c>
    </x:row>
    <x:row r="19">
      <x:c r="A19" s="10" t="str">
        <x:v>LOG-202607-0018</x:v>
      </x:c>
      <x:c r="B19" s="11" t="n">
        <x:v>46225</x:v>
      </x:c>
      <x:c r="C19" s="24" t="n">
        <x:f>YEAR(B19)</x:f>
        <x:v>2026</x:v>
      </x:c>
      <x:c r="D19" s="24" t="str">
        <x:f>TEXT(B19,"yyyy-mm")</x:f>
        <x:v>2026-07</x:v>
      </x:c>
      <x:c r="E19" s="24" t="n">
        <x:f>WEEKNUM(B19,2)</x:f>
        <x:v>30</x:v>
      </x:c>
      <x:c r="F19" s="10" t="str">
        <x:v>ORIG-537</x:v>
      </x:c>
      <x:c r="G19" s="10" t="str">
        <x:v>6182</x:v>
      </x:c>
      <x:c r="H19" s="10" t="str">
        <x:v>9270</x:v>
      </x:c>
      <x:c r="I19" t="str">
        <x:v>Pierna de Cerdo (Cb)</x:v>
      </x:c>
      <x:c r="J19" t="str">
        <x:v>Cerdo congelado</x:v>
      </x:c>
      <x:c r="K19" t="str">
        <x:v>003 Granja Calle 7</x:v>
      </x:c>
      <x:c r="L19" t="str">
        <x:v>Internacional</x:v>
      </x:c>
      <x:c r="M19" t="str">
        <x:v>Canadá</x:v>
      </x:c>
      <x:c r="N19" t="str">
        <x:v>HYLIFE FOODS LP</x:v>
      </x:c>
      <x:c r="O19" s="10" t="str">
        <x:v>INN0307973</x:v>
      </x:c>
      <x:c r="P19" s="10" t="str">
        <x:v>5401</x:v>
      </x:c>
      <x:c r="Q19" s="12" t="n">
        <x:v>18967</x:v>
      </x:c>
      <x:c r="R19" s="13" t="n">
        <x:v>879521.08</x:v>
      </x:c>
      <x:c r="S19" t="str">
        <x:v>MXN</x:v>
      </x:c>
      <x:c r="T19" s="12" t="n">
        <x:v>1</x:v>
      </x:c>
      <x:c r="U19" s="11"/>
      <x:c r="V19" s="11"/>
      <x:c r="W19" s="24" t="str">
        <x:f>IF(AND(B19&lt;&gt;"",V19&lt;&gt;""),V19-B19,"")</x:f>
      </x:c>
      <x:c r="X19"/>
      <x:c r="Y19" t="str">
        <x:v>Terrestre</x:v>
      </x:c>
      <x:c r="Z19"/>
      <x:c r="AA19"/>
      <x:c r="AB19" s="11"/>
      <x:c r="AC19" s="11"/>
      <x:c r="AD19" s="24" t="str">
        <x:f>IF(AND(AB19&lt;&gt;"",AC19&lt;&gt;""),AC19-AB19,"")</x:f>
      </x:c>
      <x:c r="AE19" s="10"/>
      <x:c r="AF19"/>
      <x:c r="AG19"/>
      <x:c r="AH19" s="25" t="str">
        <x:f>IF(AND(B19&lt;&gt;"",AG19&lt;&gt;""),B19+AG19,"")</x:f>
      </x:c>
      <x:c r="AI19" t="str">
        <x:v>No aplica</x:v>
      </x:c>
      <x:c r="AJ19"/>
      <x:c r="AK19" t="str">
        <x:v>Recibido</x:v>
      </x:c>
      <x:c r="AL19" t="str">
        <x:v>Completo</x:v>
      </x:c>
      <x:c r="AM19"/>
      <x:c r="AN19" t="str">
        <x:v>Logística</x:v>
      </x:c>
      <x:c r="AO19" s="10" t="str">
        <x:v>26 24 1686 6028736</x:v>
      </x:c>
      <x:c r="AP19" s="10" t="str">
        <x:v>PG47057/26</x:v>
      </x:c>
      <x:c r="AQ19"/>
      <x:c r="AR19" s="13"/>
      <x:c r="AS19" s="26" t="n">
        <x:f>IF(R19&lt;&gt;"",MAX(0,R19-AR19),"")</x:f>
        <x:v>879521.08</x:v>
      </x:c>
      <x:c r="AT19" s="13" t="n">
        <x:v>41730.2</x:v>
      </x:c>
      <x:c r="AU19" s="13"/>
      <x:c r="AV19" s="13"/>
      <x:c r="AW19" s="13"/>
      <x:c r="AX19" s="13"/>
      <x:c r="AY19" s="26" t="n">
        <x:f>IF(R19&lt;&gt;"",R19+AT19,"")</x:f>
        <x:v>921251.2799999999</x:v>
      </x:c>
      <x:c r="AZ19" s="27" t="n">
        <x:f>IF(Q19&gt;0,AY19/Q19,"")</x:f>
        <x:v>48.57127010070121</x:v>
      </x:c>
      <x:c r="BA19" s="13" t="n">
        <x:v>45</x:v>
      </x:c>
      <x:c r="BB19" s="26" t="n">
        <x:f>IF(AND(BA19&lt;&gt;"",Q19&gt;0),BA19*Q19,"")</x:f>
        <x:v>853515</x:v>
      </x:c>
      <x:c r="BC19" s="26" t="n">
        <x:f>IF(AND(BB19&lt;&gt;"",AY19&lt;&gt;""),BB19-AY19,"")</x:f>
        <x:v>-67736.27999999991</x:v>
      </x:c>
      <x:c r="BD19" s="26" t="n">
        <x:f>IF(AND(BA19&lt;&gt;"",AZ19&lt;&gt;""),BA19-AZ19,"")</x:f>
        <x:v>-3.571270100701213</x:v>
      </x:c>
      <x:c r="BE19" s="28" t="n">
        <x:f>IF(BB19&gt;0,BC19/BB19,"")</x:f>
        <x:v>-0.0793615577933603</x:v>
      </x:c>
      <x:c r="BF19" s="12"/>
      <x:c r="BG19" s="12"/>
      <x:c r="BH19"/>
      <x:c r="BI19" s="12"/>
      <x:c r="BJ19" s="12"/>
      <x:c r="BK19" s="28" t="n">
        <x:f>COUNTA(B19,G19,H19,I19,K19,M19,N19,Q19,R19,Y19,AE19,AF19,AI19,AK19)/14</x:f>
        <x:v>0.8571428571428571</x:v>
      </x:c>
      <x:c r="BL19" s="24" t="str">
        <x:f>IF(M19="","Falta país",IF(AE19="","Falta fracción",IF(AF19="","Falta Incoterm",IF(W19="","Falta tránsito",IF(X19="","Falta naviera",IF(AND(M19="Estados Unidos",AI19=""),"Falta inspección EE. UU.","Completo"))))))</x:f>
        <x:v>Falta fracción</x:v>
      </x:c>
      <x:c r="BM19" t="str">
        <x:v>001 Matriz</x:v>
      </x:c>
      <x:c r="BN19" t="str">
        <x:v>Porcino</x:v>
      </x:c>
      <x:c r="BO19" t="str">
        <x:v>Combo</x:v>
      </x:c>
      <x:c r="BP19"/>
      <x:c r="BQ19" s="12" t="n">
        <x:v>18967</x:v>
      </x:c>
      <x:c r="BR19" t="str">
        <x:v>Kilogramos</x:v>
      </x:c>
      <x:c r="BS19" s="12" t="n">
        <x:v>1</x:v>
      </x:c>
      <x:c r="BT19" s="13" t="n">
        <x:v>46.37</x:v>
      </x:c>
      <x:c r="BU19" s="13" t="n">
        <x:v>879521.08</x:v>
      </x:c>
    </x:row>
    <x:row r="20">
      <x:c r="A20" s="10" t="str">
        <x:v>LOG-202607-0019</x:v>
      </x:c>
      <x:c r="B20" s="11" t="n">
        <x:v>46225</x:v>
      </x:c>
      <x:c r="C20" s="24" t="n">
        <x:f>YEAR(B20)</x:f>
        <x:v>2026</x:v>
      </x:c>
      <x:c r="D20" s="24" t="str">
        <x:f>TEXT(B20,"yyyy-mm")</x:f>
        <x:v>2026-07</x:v>
      </x:c>
      <x:c r="E20" s="24" t="n">
        <x:f>WEEKNUM(B20,2)</x:f>
        <x:v>30</x:v>
      </x:c>
      <x:c r="F20" s="10" t="str">
        <x:v>ORIG-570</x:v>
      </x:c>
      <x:c r="G20" s="10" t="str">
        <x:v>6191</x:v>
      </x:c>
      <x:c r="H20" s="10" t="str">
        <x:v>9128</x:v>
      </x:c>
      <x:c r="I20" t="str">
        <x:v>Buche Crudo Mariposa (Cj)</x:v>
      </x:c>
      <x:c r="J20" t="str">
        <x:v>Cerdo congelado</x:v>
      </x:c>
      <x:c r="K20" t="str">
        <x:v>003 Granja Calle 7</x:v>
      </x:c>
      <x:c r="L20" t="str">
        <x:v>Internacional</x:v>
      </x:c>
      <x:c r="M20"/>
      <x:c r="N20" t="str">
        <x:v>ESS FOOD</x:v>
      </x:c>
      <x:c r="O20" s="10" t="str">
        <x:v>3900468308</x:v>
      </x:c>
      <x:c r="P20" s="10" t="str">
        <x:v>5356</x:v>
      </x:c>
      <x:c r="Q20" s="12" t="n">
        <x:v>25000</x:v>
      </x:c>
      <x:c r="R20" s="13" t="n">
        <x:v>1261318.75</x:v>
      </x:c>
      <x:c r="S20" t="str">
        <x:v>MXN</x:v>
      </x:c>
      <x:c r="T20" s="12" t="n">
        <x:v>1</x:v>
      </x:c>
      <x:c r="U20" s="11"/>
      <x:c r="V20" s="11"/>
      <x:c r="W20" s="24" t="str">
        <x:f>IF(AND(B20&lt;&gt;"",V20&lt;&gt;""),V20-B20,"")</x:f>
      </x:c>
      <x:c r="X20"/>
      <x:c r="Y20"/>
      <x:c r="Z20"/>
      <x:c r="AA20"/>
      <x:c r="AB20" s="11"/>
      <x:c r="AC20" s="11"/>
      <x:c r="AD20" s="24" t="str">
        <x:f>IF(AND(AB20&lt;&gt;"",AC20&lt;&gt;""),AC20-AB20,"")</x:f>
      </x:c>
      <x:c r="AE20" s="10"/>
      <x:c r="AF20"/>
      <x:c r="AG20"/>
      <x:c r="AH20" s="25" t="str">
        <x:f>IF(AND(B20&lt;&gt;"",AG20&lt;&gt;""),B20+AG20,"")</x:f>
      </x:c>
      <x:c r="AI20"/>
      <x:c r="AJ20"/>
      <x:c r="AK20" t="str">
        <x:v>Recibido</x:v>
      </x:c>
      <x:c r="AL20"/>
      <x:c r="AM20"/>
      <x:c r="AN20"/>
      <x:c r="AO20" s="10"/>
      <x:c r="AP20" s="10"/>
      <x:c r="AQ20"/>
      <x:c r="AR20" s="13"/>
      <x:c r="AS20" s="26" t="n">
        <x:f>IF(R20&lt;&gt;"",MAX(0,R20-AR20),"")</x:f>
        <x:v>1261318.75</x:v>
      </x:c>
      <x:c r="AT20" s="13"/>
      <x:c r="AU20" s="13"/>
      <x:c r="AV20" s="13"/>
      <x:c r="AW20" s="13"/>
      <x:c r="AX20" s="13"/>
      <x:c r="AY20" s="26" t="n">
        <x:f>IF(R20&lt;&gt;"",R20+AT20,"")</x:f>
        <x:v>1261318.75</x:v>
      </x:c>
      <x:c r="AZ20" s="27" t="n">
        <x:f>IF(Q20&gt;0,AY20/Q20,"")</x:f>
        <x:v>50.45275</x:v>
      </x:c>
      <x:c r="BA20" s="13"/>
      <x:c r="BB20" s="26" t="str">
        <x:f>IF(AND(BA20&lt;&gt;"",Q20&gt;0),BA20*Q20,"")</x:f>
      </x:c>
      <x:c r="BC20" s="26" t="str">
        <x:f>IF(AND(BB20&lt;&gt;"",AY20&lt;&gt;""),BB20-AY20,"")</x:f>
      </x:c>
      <x:c r="BD20" s="26" t="str">
        <x:f>IF(AND(BA20&lt;&gt;"",AZ20&lt;&gt;""),BA20-AZ20,"")</x:f>
      </x:c>
      <x:c r="BE20" s="28" t="str">
        <x:f>IF(BB20&gt;0,BC20/BB20,"")</x:f>
      </x:c>
      <x:c r="BF20" s="12"/>
      <x:c r="BG20" s="12"/>
      <x:c r="BH20"/>
      <x:c r="BI20" s="12"/>
      <x:c r="BJ20" s="12"/>
      <x:c r="BK20" s="28" t="n">
        <x:f>COUNTA(B20,G20,H20,I20,K20,M20,N20,Q20,R20,Y20,AE20,AF20,AI20,AK20)/14</x:f>
        <x:v>0.6428571428571429</x:v>
      </x:c>
      <x:c r="BL20" s="24" t="str">
        <x:f>IF(M20="","Falta país",IF(AE20="","Falta fracción",IF(AF20="","Falta Incoterm",IF(W20="","Falta tránsito",IF(X20="","Falta naviera",IF(AND(M20="Estados Unidos",AI20=""),"Falta inspección EE. UU.","Completo"))))))</x:f>
        <x:v>Falta país</x:v>
      </x:c>
      <x:c r="BM20" t="str">
        <x:v>001 Matriz</x:v>
      </x:c>
      <x:c r="BN20" t="str">
        <x:v>Porcino</x:v>
      </x:c>
      <x:c r="BO20" t="str">
        <x:v>Caja</x:v>
      </x:c>
      <x:c r="BP20"/>
      <x:c r="BQ20" s="12" t="n">
        <x:v>25000</x:v>
      </x:c>
      <x:c r="BR20" t="str">
        <x:v>Kilogramos</x:v>
      </x:c>
      <x:c r="BS20" s="12" t="n">
        <x:v>1</x:v>
      </x:c>
      <x:c r="BT20" s="13" t="n">
        <x:v>50.45</x:v>
      </x:c>
      <x:c r="BU20" s="13" t="n">
        <x:v>1261318.75</x:v>
      </x:c>
    </x:row>
    <x:row r="21">
      <x:c r="A21" s="10" t="str">
        <x:v>LOG-202607-0020</x:v>
      </x:c>
      <x:c r="B21" s="11" t="n">
        <x:v>46224</x:v>
      </x:c>
      <x:c r="C21" s="24" t="n">
        <x:f>YEAR(B21)</x:f>
        <x:v>2026</x:v>
      </x:c>
      <x:c r="D21" s="24" t="str">
        <x:f>TEXT(B21,"yyyy-mm")</x:f>
        <x:v>2026-07</x:v>
      </x:c>
      <x:c r="E21" s="24" t="n">
        <x:f>WEEKNUM(B21,2)</x:f>
        <x:v>30</x:v>
      </x:c>
      <x:c r="F21" s="10" t="str">
        <x:v>ORIG-613</x:v>
      </x:c>
      <x:c r="G21" s="10" t="str">
        <x:v>6180</x:v>
      </x:c>
      <x:c r="H21" s="10" t="str">
        <x:v>9270</x:v>
      </x:c>
      <x:c r="I21" t="str">
        <x:v>Pierna de Cerdo (Cb)</x:v>
      </x:c>
      <x:c r="J21" t="str">
        <x:v>Cerdo congelado</x:v>
      </x:c>
      <x:c r="K21" t="str">
        <x:v>003 Granja Calle 7</x:v>
      </x:c>
      <x:c r="L21" t="str">
        <x:v>Internacional</x:v>
      </x:c>
      <x:c r="M21" t="str">
        <x:v>Canadá</x:v>
      </x:c>
      <x:c r="N21" t="str">
        <x:v>CANADA PACKERS INC</x:v>
      </x:c>
      <x:c r="O21" s="10" t="str">
        <x:v>9601936845</x:v>
      </x:c>
      <x:c r="P21" s="10" t="str">
        <x:v>5369</x:v>
      </x:c>
      <x:c r="Q21" s="12" t="n">
        <x:v>18631.21</x:v>
      </x:c>
      <x:c r="R21" s="13" t="n">
        <x:v>854889.17</x:v>
      </x:c>
      <x:c r="S21" t="str">
        <x:v>MXN</x:v>
      </x:c>
      <x:c r="T21" s="12" t="n">
        <x:v>1</x:v>
      </x:c>
      <x:c r="U21" s="11"/>
      <x:c r="V21" s="11"/>
      <x:c r="W21" s="24" t="str">
        <x:f>IF(AND(B21&lt;&gt;"",V21&lt;&gt;""),V21-B21,"")</x:f>
      </x:c>
      <x:c r="X21"/>
      <x:c r="Y21" t="str">
        <x:v>Terrestre</x:v>
      </x:c>
      <x:c r="Z21"/>
      <x:c r="AA21"/>
      <x:c r="AB21" s="11"/>
      <x:c r="AC21" s="11"/>
      <x:c r="AD21" s="24" t="str">
        <x:f>IF(AND(AB21&lt;&gt;"",AC21&lt;&gt;""),AC21-AB21,"")</x:f>
      </x:c>
      <x:c r="AE21" s="10"/>
      <x:c r="AF21"/>
      <x:c r="AG21"/>
      <x:c r="AH21" s="25" t="str">
        <x:f>IF(AND(B21&lt;&gt;"",AG21&lt;&gt;""),B21+AG21,"")</x:f>
      </x:c>
      <x:c r="AI21" t="str">
        <x:v>No aplica</x:v>
      </x:c>
      <x:c r="AJ21"/>
      <x:c r="AK21" t="str">
        <x:v>Recibido</x:v>
      </x:c>
      <x:c r="AL21" t="str">
        <x:v>Completo</x:v>
      </x:c>
      <x:c r="AM21"/>
      <x:c r="AN21" t="str">
        <x:v>Logística</x:v>
      </x:c>
      <x:c r="AO21" s="10" t="str">
        <x:v>26 24 1686 6028512</x:v>
      </x:c>
      <x:c r="AP21" s="10" t="str">
        <x:v>PG46742/26</x:v>
      </x:c>
      <x:c r="AQ21"/>
      <x:c r="AR21" s="13"/>
      <x:c r="AS21" s="26" t="n">
        <x:f>IF(R21&lt;&gt;"",MAX(0,R21-AR21),"")</x:f>
        <x:v>854889.17</x:v>
      </x:c>
      <x:c r="AT21" s="13" t="n">
        <x:v>41439.2</x:v>
      </x:c>
      <x:c r="AU21" s="13"/>
      <x:c r="AV21" s="13"/>
      <x:c r="AW21" s="13"/>
      <x:c r="AX21" s="13"/>
      <x:c r="AY21" s="26" t="n">
        <x:f>IF(R21&lt;&gt;"",R21+AT21,"")</x:f>
        <x:v>896328.37</x:v>
      </x:c>
      <x:c r="AZ21" s="27" t="n">
        <x:f>IF(Q21&gt;0,AY21/Q21,"")</x:f>
        <x:v>48.1089725251339</x:v>
      </x:c>
      <x:c r="BA21" s="13" t="n">
        <x:v>45</x:v>
      </x:c>
      <x:c r="BB21" s="26" t="n">
        <x:f>IF(AND(BA21&lt;&gt;"",Q21&gt;0),BA21*Q21,"")</x:f>
        <x:v>838404.45</x:v>
      </x:c>
      <x:c r="BC21" s="26" t="n">
        <x:f>IF(AND(BB21&lt;&gt;"",AY21&lt;&gt;""),BB21-AY21,"")</x:f>
        <x:v>-57923.92000000004</x:v>
      </x:c>
      <x:c r="BD21" s="26" t="n">
        <x:f>IF(AND(BA21&lt;&gt;"",AZ21&lt;&gt;""),BA21-AZ21,"")</x:f>
        <x:v>-3.1089725251339004</x:v>
      </x:c>
      <x:c r="BE21" s="28" t="n">
        <x:f>IF(BB21&gt;0,BC21/BB21,"")</x:f>
        <x:v>-0.06908827833630898</x:v>
      </x:c>
      <x:c r="BF21" s="12"/>
      <x:c r="BG21" s="12"/>
      <x:c r="BH21"/>
      <x:c r="BI21" s="12"/>
      <x:c r="BJ21" s="12"/>
      <x:c r="BK21" s="28" t="n">
        <x:f>COUNTA(B21,G21,H21,I21,K21,M21,N21,Q21,R21,Y21,AE21,AF21,AI21,AK21)/14</x:f>
        <x:v>0.8571428571428571</x:v>
      </x:c>
      <x:c r="BL21" s="24" t="str">
        <x:f>IF(M21="","Falta país",IF(AE21="","Falta fracción",IF(AF21="","Falta Incoterm",IF(W21="","Falta tránsito",IF(X21="","Falta naviera",IF(AND(M21="Estados Unidos",AI21=""),"Falta inspección EE. UU.","Completo"))))))</x:f>
        <x:v>Falta fracción</x:v>
      </x:c>
      <x:c r="BM21" t="str">
        <x:v>001 Matriz</x:v>
      </x:c>
      <x:c r="BN21" t="str">
        <x:v>Porcino</x:v>
      </x:c>
      <x:c r="BO21" t="str">
        <x:v>Combo</x:v>
      </x:c>
      <x:c r="BP21"/>
      <x:c r="BQ21" s="12" t="n">
        <x:v>18631.21</x:v>
      </x:c>
      <x:c r="BR21" t="str">
        <x:v>Kilogramos</x:v>
      </x:c>
      <x:c r="BS21" s="12" t="n">
        <x:v>1</x:v>
      </x:c>
      <x:c r="BT21" s="13" t="n">
        <x:v>45.88</x:v>
      </x:c>
      <x:c r="BU21" s="13" t="n">
        <x:v>854889.17</x:v>
      </x:c>
    </x:row>
    <x:row r="22">
      <x:c r="A22" s="10" t="str">
        <x:v>LOG-202607-0021</x:v>
      </x:c>
      <x:c r="B22" s="11" t="n">
        <x:v>46224</x:v>
      </x:c>
      <x:c r="C22" s="24" t="n">
        <x:f>YEAR(B22)</x:f>
        <x:v>2026</x:v>
      </x:c>
      <x:c r="D22" s="24" t="str">
        <x:f>TEXT(B22,"yyyy-mm")</x:f>
        <x:v>2026-07</x:v>
      </x:c>
      <x:c r="E22" s="24" t="n">
        <x:f>WEEKNUM(B22,2)</x:f>
        <x:v>30</x:v>
      </x:c>
      <x:c r="F22" s="10" t="str">
        <x:v>ORIG-637</x:v>
      </x:c>
      <x:c r="G22" s="10" t="str">
        <x:v>6189</x:v>
      </x:c>
      <x:c r="H22" s="10" t="str">
        <x:v>9128</x:v>
      </x:c>
      <x:c r="I22" t="str">
        <x:v>Buche Crudo Mariposa (Cj)</x:v>
      </x:c>
      <x:c r="J22" t="str">
        <x:v>Cerdo congelado</x:v>
      </x:c>
      <x:c r="K22" t="str">
        <x:v>003 Granja Calle 7</x:v>
      </x:c>
      <x:c r="L22" t="str">
        <x:v>Internacional</x:v>
      </x:c>
      <x:c r="M22"/>
      <x:c r="N22" t="str">
        <x:v>ESS FOOD</x:v>
      </x:c>
      <x:c r="O22" s="10" t="str">
        <x:v>3900468101</x:v>
      </x:c>
      <x:c r="P22" s="10" t="str">
        <x:v>5355</x:v>
      </x:c>
      <x:c r="Q22" s="12" t="n">
        <x:v>25000</x:v>
      </x:c>
      <x:c r="R22" s="13" t="n">
        <x:v>1263783.75</x:v>
      </x:c>
      <x:c r="S22" t="str">
        <x:v>MXN</x:v>
      </x:c>
      <x:c r="T22" s="12" t="n">
        <x:v>1</x:v>
      </x:c>
      <x:c r="U22" s="11"/>
      <x:c r="V22" s="11"/>
      <x:c r="W22" s="24" t="str">
        <x:f>IF(AND(B22&lt;&gt;"",V22&lt;&gt;""),V22-B22,"")</x:f>
      </x:c>
      <x:c r="X22"/>
      <x:c r="Y22"/>
      <x:c r="Z22"/>
      <x:c r="AA22"/>
      <x:c r="AB22" s="11"/>
      <x:c r="AC22" s="11"/>
      <x:c r="AD22" s="24" t="str">
        <x:f>IF(AND(AB22&lt;&gt;"",AC22&lt;&gt;""),AC22-AB22,"")</x:f>
      </x:c>
      <x:c r="AE22" s="10"/>
      <x:c r="AF22"/>
      <x:c r="AG22"/>
      <x:c r="AH22" s="25" t="str">
        <x:f>IF(AND(B22&lt;&gt;"",AG22&lt;&gt;""),B22+AG22,"")</x:f>
      </x:c>
      <x:c r="AI22"/>
      <x:c r="AJ22"/>
      <x:c r="AK22" t="str">
        <x:v>Recibido</x:v>
      </x:c>
      <x:c r="AL22"/>
      <x:c r="AM22"/>
      <x:c r="AN22"/>
      <x:c r="AO22" s="10"/>
      <x:c r="AP22" s="10"/>
      <x:c r="AQ22"/>
      <x:c r="AR22" s="13"/>
      <x:c r="AS22" s="26" t="n">
        <x:f>IF(R22&lt;&gt;"",MAX(0,R22-AR22),"")</x:f>
        <x:v>1263783.75</x:v>
      </x:c>
      <x:c r="AT22" s="13"/>
      <x:c r="AU22" s="13"/>
      <x:c r="AV22" s="13"/>
      <x:c r="AW22" s="13"/>
      <x:c r="AX22" s="13"/>
      <x:c r="AY22" s="26" t="n">
        <x:f>IF(R22&lt;&gt;"",R22+AT22,"")</x:f>
        <x:v>1263783.75</x:v>
      </x:c>
      <x:c r="AZ22" s="27" t="n">
        <x:f>IF(Q22&gt;0,AY22/Q22,"")</x:f>
        <x:v>50.55135</x:v>
      </x:c>
      <x:c r="BA22" s="13"/>
      <x:c r="BB22" s="26" t="str">
        <x:f>IF(AND(BA22&lt;&gt;"",Q22&gt;0),BA22*Q22,"")</x:f>
      </x:c>
      <x:c r="BC22" s="26" t="str">
        <x:f>IF(AND(BB22&lt;&gt;"",AY22&lt;&gt;""),BB22-AY22,"")</x:f>
      </x:c>
      <x:c r="BD22" s="26" t="str">
        <x:f>IF(AND(BA22&lt;&gt;"",AZ22&lt;&gt;""),BA22-AZ22,"")</x:f>
      </x:c>
      <x:c r="BE22" s="28" t="str">
        <x:f>IF(BB22&gt;0,BC22/BB22,"")</x:f>
      </x:c>
      <x:c r="BF22" s="12"/>
      <x:c r="BG22" s="12"/>
      <x:c r="BH22"/>
      <x:c r="BI22" s="12"/>
      <x:c r="BJ22" s="12"/>
      <x:c r="BK22" s="28" t="n">
        <x:f>COUNTA(B22,G22,H22,I22,K22,M22,N22,Q22,R22,Y22,AE22,AF22,AI22,AK22)/14</x:f>
        <x:v>0.6428571428571429</x:v>
      </x:c>
      <x:c r="BL22" s="24" t="str">
        <x:f>IF(M22="","Falta país",IF(AE22="","Falta fracción",IF(AF22="","Falta Incoterm",IF(W22="","Falta tránsito",IF(X22="","Falta naviera",IF(AND(M22="Estados Unidos",AI22=""),"Falta inspección EE. UU.","Completo"))))))</x:f>
        <x:v>Falta país</x:v>
      </x:c>
      <x:c r="BM22" t="str">
        <x:v>001 Matriz</x:v>
      </x:c>
      <x:c r="BN22" t="str">
        <x:v>Porcino</x:v>
      </x:c>
      <x:c r="BO22" t="str">
        <x:v>Caja</x:v>
      </x:c>
      <x:c r="BP22"/>
      <x:c r="BQ22" s="12" t="n">
        <x:v>25000</x:v>
      </x:c>
      <x:c r="BR22" t="str">
        <x:v>Kilogramos</x:v>
      </x:c>
      <x:c r="BS22" s="12" t="n">
        <x:v>1</x:v>
      </x:c>
      <x:c r="BT22" s="13" t="n">
        <x:v>50.55</x:v>
      </x:c>
      <x:c r="BU22" s="13" t="n">
        <x:v>1263783.75</x:v>
      </x:c>
    </x:row>
    <x:row r="23">
      <x:c r="A23" s="10" t="str">
        <x:v>LOG-202607-0022</x:v>
      </x:c>
      <x:c r="B23" s="11" t="n">
        <x:v>46223</x:v>
      </x:c>
      <x:c r="C23" s="24" t="n">
        <x:f>YEAR(B23)</x:f>
        <x:v>2026</x:v>
      </x:c>
      <x:c r="D23" s="24" t="str">
        <x:f>TEXT(B23,"yyyy-mm")</x:f>
        <x:v>2026-07</x:v>
      </x:c>
      <x:c r="E23" s="24" t="n">
        <x:f>WEEKNUM(B23,2)</x:f>
        <x:v>30</x:v>
      </x:c>
      <x:c r="F23" s="10" t="str">
        <x:v>ORIG-675</x:v>
      </x:c>
      <x:c r="G23" s="10" t="str">
        <x:v>6177</x:v>
      </x:c>
      <x:c r="H23" s="10" t="str">
        <x:v>9148</x:v>
      </x:c>
      <x:c r="I23" t="str">
        <x:v>Caña de Lomo A/V (Cj)</x:v>
      </x:c>
      <x:c r="J23" t="str">
        <x:v>Cerdo congelado</x:v>
      </x:c>
      <x:c r="K23" t="str">
        <x:v>003 Granja Calle 7</x:v>
      </x:c>
      <x:c r="L23" t="str">
        <x:v>Internacional</x:v>
      </x:c>
      <x:c r="M23" t="str">
        <x:v>Estados Unidos</x:v>
      </x:c>
      <x:c r="N23" t="str">
        <x:v>QUIRCH FOODS</x:v>
      </x:c>
      <x:c r="O23" s="10" t="str">
        <x:v>239512</x:v>
      </x:c>
      <x:c r="P23" s="10" t="str">
        <x:v>5450</x:v>
      </x:c>
      <x:c r="Q23" s="12" t="n">
        <x:v>17904.93</x:v>
      </x:c>
      <x:c r="R23" s="13" t="n">
        <x:v>923467.89</x:v>
      </x:c>
      <x:c r="S23" t="str">
        <x:v>MXN</x:v>
      </x:c>
      <x:c r="T23" s="12" t="n">
        <x:v>1</x:v>
      </x:c>
      <x:c r="U23" s="11"/>
      <x:c r="V23" s="11"/>
      <x:c r="W23" s="24" t="str">
        <x:f>IF(AND(B23&lt;&gt;"",V23&lt;&gt;""),V23-B23,"")</x:f>
      </x:c>
      <x:c r="X23"/>
      <x:c r="Y23" t="str">
        <x:v>Terrestre</x:v>
      </x:c>
      <x:c r="Z23"/>
      <x:c r="AA23"/>
      <x:c r="AB23" s="11"/>
      <x:c r="AC23" s="11"/>
      <x:c r="AD23" s="24" t="str">
        <x:f>IF(AND(AB23&lt;&gt;"",AC23&lt;&gt;""),AC23-AB23,"")</x:f>
      </x:c>
      <x:c r="AE23" s="10"/>
      <x:c r="AF23"/>
      <x:c r="AG23"/>
      <x:c r="AH23" s="25" t="str">
        <x:f>IF(AND(B23&lt;&gt;"",AG23&lt;&gt;""),B23+AG23,"")</x:f>
      </x:c>
      <x:c r="AI23"/>
      <x:c r="AJ23"/>
      <x:c r="AK23" t="str">
        <x:v>Recibido</x:v>
      </x:c>
      <x:c r="AL23" t="str">
        <x:v>Completo</x:v>
      </x:c>
      <x:c r="AM23"/>
      <x:c r="AN23" t="str">
        <x:v>Logística</x:v>
      </x:c>
      <x:c r="AO23" s="10" t="str">
        <x:v>26 24 1686 6028125</x:v>
      </x:c>
      <x:c r="AP23" s="10" t="str">
        <x:v>PG45683/26</x:v>
      </x:c>
      <x:c r="AQ23"/>
      <x:c r="AR23" s="13"/>
      <x:c r="AS23" s="26" t="n">
        <x:f>IF(R23&lt;&gt;"",MAX(0,R23-AR23),"")</x:f>
        <x:v>923467.89</x:v>
      </x:c>
      <x:c r="AT23" s="13" t="n">
        <x:v>46180.2</x:v>
      </x:c>
      <x:c r="AU23" s="13"/>
      <x:c r="AV23" s="13"/>
      <x:c r="AW23" s="13"/>
      <x:c r="AX23" s="13"/>
      <x:c r="AY23" s="26" t="n">
        <x:f>IF(R23&lt;&gt;"",R23+AT23,"")</x:f>
        <x:v>969648.09</x:v>
      </x:c>
      <x:c r="AZ23" s="27" t="n">
        <x:f>IF(Q23&gt;0,AY23/Q23,"")</x:f>
        <x:v>54.15536894028627</x:v>
      </x:c>
      <x:c r="BA23" s="13" t="n">
        <x:v>62</x:v>
      </x:c>
      <x:c r="BB23" s="26" t="n">
        <x:f>IF(AND(BA23&lt;&gt;"",Q23&gt;0),BA23*Q23,"")</x:f>
        <x:v>1110105.66</x:v>
      </x:c>
      <x:c r="BC23" s="26" t="n">
        <x:f>IF(AND(BB23&lt;&gt;"",AY23&lt;&gt;""),BB23-AY23,"")</x:f>
        <x:v>140457.56999999995</x:v>
      </x:c>
      <x:c r="BD23" s="26" t="n">
        <x:f>IF(AND(BA23&lt;&gt;"",AZ23&lt;&gt;""),BA23-AZ23,"")</x:f>
        <x:v>7.844631059713727</x:v>
      </x:c>
      <x:c r="BE23" s="28" t="n">
        <x:f>IF(BB23&gt;0,BC23/BB23,"")</x:f>
        <x:v>0.12652630741473742</x:v>
      </x:c>
      <x:c r="BF23" s="12"/>
      <x:c r="BG23" s="12"/>
      <x:c r="BH23"/>
      <x:c r="BI23" s="12"/>
      <x:c r="BJ23" s="12"/>
      <x:c r="BK23" s="28" t="n">
        <x:f>COUNTA(B23,G23,H23,I23,K23,M23,N23,Q23,R23,Y23,AE23,AF23,AI23,AK23)/14</x:f>
        <x:v>0.7857142857142857</x:v>
      </x:c>
      <x:c r="BL23" s="24" t="str">
        <x:f>IF(M23="","Falta país",IF(AE23="","Falta fracción",IF(AF23="","Falta Incoterm",IF(W23="","Falta tránsito",IF(X23="","Falta naviera",IF(AND(M23="Estados Unidos",AI23=""),"Falta inspección EE. UU.","Completo"))))))</x:f>
        <x:v>Falta fracción</x:v>
      </x:c>
      <x:c r="BM23" t="str">
        <x:v>001 Matriz</x:v>
      </x:c>
      <x:c r="BN23" t="str">
        <x:v>Porcino</x:v>
      </x:c>
      <x:c r="BO23" t="str">
        <x:v>Caja</x:v>
      </x:c>
      <x:c r="BP23"/>
      <x:c r="BQ23" s="12" t="n">
        <x:v>17904.93</x:v>
      </x:c>
      <x:c r="BR23" t="str">
        <x:v>Kilogramos</x:v>
      </x:c>
      <x:c r="BS23" s="12" t="n">
        <x:v>1</x:v>
      </x:c>
      <x:c r="BT23" s="13" t="n">
        <x:v>51.58</x:v>
      </x:c>
      <x:c r="BU23" s="13" t="n">
        <x:v>923467.89</x:v>
      </x:c>
    </x:row>
    <x:row r="24">
      <x:c r="A24" s="10" t="str">
        <x:v>LOG-202607-0023</x:v>
      </x:c>
      <x:c r="B24" s="11" t="n">
        <x:v>46223</x:v>
      </x:c>
      <x:c r="C24" s="24" t="n">
        <x:f>YEAR(B24)</x:f>
        <x:v>2026</x:v>
      </x:c>
      <x:c r="D24" s="24" t="str">
        <x:f>TEXT(B24,"yyyy-mm")</x:f>
        <x:v>2026-07</x:v>
      </x:c>
      <x:c r="E24" s="24" t="n">
        <x:f>WEEKNUM(B24,2)</x:f>
        <x:v>30</x:v>
      </x:c>
      <x:c r="F24" s="10" t="str">
        <x:v>ORIG-676</x:v>
      </x:c>
      <x:c r="G24" s="10" t="str">
        <x:v>6176</x:v>
      </x:c>
      <x:c r="H24" s="10" t="str">
        <x:v>9128</x:v>
      </x:c>
      <x:c r="I24" t="str">
        <x:v>Buche Crudo Mariposa (Cj)</x:v>
      </x:c>
      <x:c r="J24" t="str">
        <x:v>Cerdo congelado</x:v>
      </x:c>
      <x:c r="K24" t="str">
        <x:v>003 Granja Calle 7</x:v>
      </x:c>
      <x:c r="L24" t="str">
        <x:v>Internacional</x:v>
      </x:c>
      <x:c r="M24" t="str">
        <x:v>Estados Unidos</x:v>
      </x:c>
      <x:c r="N24" t="str">
        <x:v>QUIRCH FOODS</x:v>
      </x:c>
      <x:c r="O24" s="10" t="str">
        <x:v>237581</x:v>
      </x:c>
      <x:c r="P24" s="10" t="str">
        <x:v>5393</x:v>
      </x:c>
      <x:c r="Q24" s="12" t="n">
        <x:v>17690.28</x:v>
      </x:c>
      <x:c r="R24" s="13" t="n">
        <x:v>830384.22</x:v>
      </x:c>
      <x:c r="S24" t="str">
        <x:v>MXN</x:v>
      </x:c>
      <x:c r="T24" s="12" t="n">
        <x:v>1</x:v>
      </x:c>
      <x:c r="U24" s="11"/>
      <x:c r="V24" s="11"/>
      <x:c r="W24" s="24" t="str">
        <x:f>IF(AND(B24&lt;&gt;"",V24&lt;&gt;""),V24-B24,"")</x:f>
      </x:c>
      <x:c r="X24"/>
      <x:c r="Y24" t="str">
        <x:v>Terrestre</x:v>
      </x:c>
      <x:c r="Z24"/>
      <x:c r="AA24"/>
      <x:c r="AB24" s="11"/>
      <x:c r="AC24" s="11"/>
      <x:c r="AD24" s="24" t="str">
        <x:f>IF(AND(AB24&lt;&gt;"",AC24&lt;&gt;""),AC24-AB24,"")</x:f>
      </x:c>
      <x:c r="AE24" s="10"/>
      <x:c r="AF24"/>
      <x:c r="AG24"/>
      <x:c r="AH24" s="25" t="str">
        <x:f>IF(AND(B24&lt;&gt;"",AG24&lt;&gt;""),B24+AG24,"")</x:f>
      </x:c>
      <x:c r="AI24"/>
      <x:c r="AJ24"/>
      <x:c r="AK24" t="str">
        <x:v>Recibido</x:v>
      </x:c>
      <x:c r="AL24" t="str">
        <x:v>Completo</x:v>
      </x:c>
      <x:c r="AM24"/>
      <x:c r="AN24" t="str">
        <x:v>Logística</x:v>
      </x:c>
      <x:c r="AO24" s="10" t="str">
        <x:v>26 24 1686 6027989</x:v>
      </x:c>
      <x:c r="AP24" s="10" t="str">
        <x:v>PG45636/26</x:v>
      </x:c>
      <x:c r="AQ24"/>
      <x:c r="AR24" s="13"/>
      <x:c r="AS24" s="26" t="n">
        <x:f>IF(R24&lt;&gt;"",MAX(0,R24-AR24),"")</x:f>
        <x:v>830384.22</x:v>
      </x:c>
      <x:c r="AT24" s="13" t="n">
        <x:v>41730.2</x:v>
      </x:c>
      <x:c r="AU24" s="13"/>
      <x:c r="AV24" s="13"/>
      <x:c r="AW24" s="13"/>
      <x:c r="AX24" s="13"/>
      <x:c r="AY24" s="26" t="n">
        <x:f>IF(R24&lt;&gt;"",R24+AT24,"")</x:f>
        <x:v>872114.4199999999</x:v>
      </x:c>
      <x:c r="AZ24" s="27" t="n">
        <x:f>IF(Q24&gt;0,AY24/Q24,"")</x:f>
        <x:v>49.29907384168029</x:v>
      </x:c>
      <x:c r="BA24" s="13" t="n">
        <x:v>51</x:v>
      </x:c>
      <x:c r="BB24" s="26" t="n">
        <x:f>IF(AND(BA24&lt;&gt;"",Q24&gt;0),BA24*Q24,"")</x:f>
        <x:v>902204.2799999999</x:v>
      </x:c>
      <x:c r="BC24" s="26" t="n">
        <x:f>IF(AND(BB24&lt;&gt;"",AY24&lt;&gt;""),BB24-AY24,"")</x:f>
        <x:v>30089.859999999986</x:v>
      </x:c>
      <x:c r="BD24" s="26" t="n">
        <x:f>IF(AND(BA24&lt;&gt;"",AZ24&lt;&gt;""),BA24-AZ24,"")</x:f>
        <x:v>1.7009261583197102</x:v>
      </x:c>
      <x:c r="BE24" s="28" t="n">
        <x:f>IF(BB24&gt;0,BC24/BB24,"")</x:f>
        <x:v>0.03335149330038646</x:v>
      </x:c>
      <x:c r="BF24" s="12"/>
      <x:c r="BG24" s="12"/>
      <x:c r="BH24"/>
      <x:c r="BI24" s="12"/>
      <x:c r="BJ24" s="12"/>
      <x:c r="BK24" s="28" t="n">
        <x:f>COUNTA(B24,G24,H24,I24,K24,M24,N24,Q24,R24,Y24,AE24,AF24,AI24,AK24)/14</x:f>
        <x:v>0.7857142857142857</x:v>
      </x:c>
      <x:c r="BL24" s="24" t="str">
        <x:f>IF(M24="","Falta país",IF(AE24="","Falta fracción",IF(AF24="","Falta Incoterm",IF(W24="","Falta tránsito",IF(X24="","Falta naviera",IF(AND(M24="Estados Unidos",AI24=""),"Falta inspección EE. UU.","Completo"))))))</x:f>
        <x:v>Falta fracción</x:v>
      </x:c>
      <x:c r="BM24" t="str">
        <x:v>001 Matriz</x:v>
      </x:c>
      <x:c r="BN24" t="str">
        <x:v>Porcino</x:v>
      </x:c>
      <x:c r="BO24" t="str">
        <x:v>Caja</x:v>
      </x:c>
      <x:c r="BP24"/>
      <x:c r="BQ24" s="12" t="n">
        <x:v>17690.28</x:v>
      </x:c>
      <x:c r="BR24" t="str">
        <x:v>Kilogramos</x:v>
      </x:c>
      <x:c r="BS24" s="12" t="n">
        <x:v>1</x:v>
      </x:c>
      <x:c r="BT24" s="13" t="n">
        <x:v>46.94</x:v>
      </x:c>
      <x:c r="BU24" s="13" t="n">
        <x:v>830384.22</x:v>
      </x:c>
    </x:row>
    <x:row r="25">
      <x:c r="A25" s="10" t="str">
        <x:v>LOG-202607-0024</x:v>
      </x:c>
      <x:c r="B25" s="11" t="n">
        <x:v>46223</x:v>
      </x:c>
      <x:c r="C25" s="24" t="n">
        <x:f>YEAR(B25)</x:f>
        <x:v>2026</x:v>
      </x:c>
      <x:c r="D25" s="24" t="str">
        <x:f>TEXT(B25,"yyyy-mm")</x:f>
        <x:v>2026-07</x:v>
      </x:c>
      <x:c r="E25" s="24" t="n">
        <x:f>WEEKNUM(B25,2)</x:f>
        <x:v>30</x:v>
      </x:c>
      <x:c r="F25" s="10" t="str">
        <x:v>ORIG-677</x:v>
      </x:c>
      <x:c r="G25" s="10" t="str">
        <x:v>6175</x:v>
      </x:c>
      <x:c r="H25" s="10" t="str">
        <x:v>9193</x:v>
      </x:c>
      <x:c r="I25" t="str">
        <x:v>Entrecot Americano (Cj)</x:v>
      </x:c>
      <x:c r="J25" t="str">
        <x:v>Cerdo congelado</x:v>
      </x:c>
      <x:c r="K25" t="str">
        <x:v>001 Corralito</x:v>
      </x:c>
      <x:c r="L25" t="str">
        <x:v>Internacional</x:v>
      </x:c>
      <x:c r="M25" t="str">
        <x:v>Estados Unidos</x:v>
      </x:c>
      <x:c r="N25" t="str">
        <x:v>QUIRCH FOODS</x:v>
      </x:c>
      <x:c r="O25" s="10" t="str">
        <x:v>239511</x:v>
      </x:c>
      <x:c r="P25" s="10" t="str">
        <x:v>5447</x:v>
      </x:c>
      <x:c r="Q25" s="12" t="n">
        <x:v>17815.98</x:v>
      </x:c>
      <x:c r="R25" s="13" t="n">
        <x:v>805310.91</x:v>
      </x:c>
      <x:c r="S25" t="str">
        <x:v>MXN</x:v>
      </x:c>
      <x:c r="T25" s="12" t="n">
        <x:v>1</x:v>
      </x:c>
      <x:c r="U25" s="11"/>
      <x:c r="V25" s="11"/>
      <x:c r="W25" s="24" t="str">
        <x:f>IF(AND(B25&lt;&gt;"",V25&lt;&gt;""),V25-B25,"")</x:f>
      </x:c>
      <x:c r="X25"/>
      <x:c r="Y25" t="str">
        <x:v>Terrestre</x:v>
      </x:c>
      <x:c r="Z25"/>
      <x:c r="AA25"/>
      <x:c r="AB25" s="11"/>
      <x:c r="AC25" s="11"/>
      <x:c r="AD25" s="24" t="str">
        <x:f>IF(AND(AB25&lt;&gt;"",AC25&lt;&gt;""),AC25-AB25,"")</x:f>
      </x:c>
      <x:c r="AE25" s="10"/>
      <x:c r="AF25"/>
      <x:c r="AG25"/>
      <x:c r="AH25" s="25" t="str">
        <x:f>IF(AND(B25&lt;&gt;"",AG25&lt;&gt;""),B25+AG25,"")</x:f>
      </x:c>
      <x:c r="AI25"/>
      <x:c r="AJ25"/>
      <x:c r="AK25" t="str">
        <x:v>Recibido</x:v>
      </x:c>
      <x:c r="AL25" t="str">
        <x:v>Completo</x:v>
      </x:c>
      <x:c r="AM25"/>
      <x:c r="AN25" t="str">
        <x:v>Logística</x:v>
      </x:c>
      <x:c r="AO25" s="10" t="str">
        <x:v>26 24 1686 6027978</x:v>
      </x:c>
      <x:c r="AP25" s="10" t="str">
        <x:v>PG45465/26</x:v>
      </x:c>
      <x:c r="AQ25"/>
      <x:c r="AR25" s="13"/>
      <x:c r="AS25" s="26" t="n">
        <x:f>IF(R25&lt;&gt;"",MAX(0,R25-AR25),"")</x:f>
        <x:v>805310.91</x:v>
      </x:c>
      <x:c r="AT25" s="13" t="n">
        <x:v>41730.2</x:v>
      </x:c>
      <x:c r="AU25" s="13"/>
      <x:c r="AV25" s="13"/>
      <x:c r="AW25" s="13"/>
      <x:c r="AX25" s="13"/>
      <x:c r="AY25" s="26" t="n">
        <x:f>IF(R25&lt;&gt;"",R25+AT25,"")</x:f>
        <x:v>847041.11</x:v>
      </x:c>
      <x:c r="AZ25" s="27" t="n">
        <x:f>IF(Q25&gt;0,AY25/Q25,"")</x:f>
        <x:v>47.54389654680798</x:v>
      </x:c>
      <x:c r="BA25" s="13" t="n">
        <x:v>45</x:v>
      </x:c>
      <x:c r="BB25" s="26" t="n">
        <x:f>IF(AND(BA25&lt;&gt;"",Q25&gt;0),BA25*Q25,"")</x:f>
        <x:v>801719.1</x:v>
      </x:c>
      <x:c r="BC25" s="26" t="n">
        <x:f>IF(AND(BB25&lt;&gt;"",AY25&lt;&gt;""),BB25-AY25,"")</x:f>
        <x:v>-45322.01000000001</x:v>
      </x:c>
      <x:c r="BD25" s="26" t="n">
        <x:f>IF(AND(BA25&lt;&gt;"",AZ25&lt;&gt;""),BA25-AZ25,"")</x:f>
        <x:v>-2.5438965468079786</x:v>
      </x:c>
      <x:c r="BE25" s="28" t="n">
        <x:f>IF(BB25&gt;0,BC25/BB25,"")</x:f>
        <x:v>-0.05653103437351063</x:v>
      </x:c>
      <x:c r="BF25" s="12"/>
      <x:c r="BG25" s="12"/>
      <x:c r="BH25"/>
      <x:c r="BI25" s="12"/>
      <x:c r="BJ25" s="12"/>
      <x:c r="BK25" s="28" t="n">
        <x:f>COUNTA(B25,G25,H25,I25,K25,M25,N25,Q25,R25,Y25,AE25,AF25,AI25,AK25)/14</x:f>
        <x:v>0.7857142857142857</x:v>
      </x:c>
      <x:c r="BL25" s="24" t="str">
        <x:f>IF(M25="","Falta país",IF(AE25="","Falta fracción",IF(AF25="","Falta Incoterm",IF(W25="","Falta tránsito",IF(X25="","Falta naviera",IF(AND(M25="Estados Unidos",AI25=""),"Falta inspección EE. UU.","Completo"))))))</x:f>
        <x:v>Falta fracción</x:v>
      </x:c>
      <x:c r="BM25" t="str">
        <x:v>001 Matriz</x:v>
      </x:c>
      <x:c r="BN25" t="str">
        <x:v>Porcino</x:v>
      </x:c>
      <x:c r="BO25" t="str">
        <x:v>Caja</x:v>
      </x:c>
      <x:c r="BP25"/>
      <x:c r="BQ25" s="12" t="n">
        <x:v>17815.98</x:v>
      </x:c>
      <x:c r="BR25" t="str">
        <x:v>Kilogramos</x:v>
      </x:c>
      <x:c r="BS25" s="12" t="n">
        <x:v>1</x:v>
      </x:c>
      <x:c r="BT25" s="13" t="n">
        <x:v>45.2</x:v>
      </x:c>
      <x:c r="BU25" s="13" t="n">
        <x:v>805310.91</x:v>
      </x:c>
    </x:row>
    <x:row r="26">
      <x:c r="A26" s="10" t="str">
        <x:v>LOG-202607-0025</x:v>
      </x:c>
      <x:c r="B26" s="11" t="n">
        <x:v>46223</x:v>
      </x:c>
      <x:c r="C26" s="24" t="n">
        <x:f>YEAR(B26)</x:f>
        <x:v>2026</x:v>
      </x:c>
      <x:c r="D26" s="24" t="str">
        <x:f>TEXT(B26,"yyyy-mm")</x:f>
        <x:v>2026-07</x:v>
      </x:c>
      <x:c r="E26" s="24" t="n">
        <x:f>WEEKNUM(B26,2)</x:f>
        <x:v>30</x:v>
      </x:c>
      <x:c r="F26" s="10" t="str">
        <x:v>ORIG-689</x:v>
      </x:c>
      <x:c r="G26" s="10" t="str">
        <x:v>6190</x:v>
      </x:c>
      <x:c r="H26" s="10" t="str">
        <x:v>9128</x:v>
      </x:c>
      <x:c r="I26" t="str">
        <x:v>Buche Crudo Mariposa (Cj)</x:v>
      </x:c>
      <x:c r="J26" t="str">
        <x:v>Cerdo congelado</x:v>
      </x:c>
      <x:c r="K26" t="str">
        <x:v>003 Granja Calle 7</x:v>
      </x:c>
      <x:c r="L26" t="str">
        <x:v>Internacional</x:v>
      </x:c>
      <x:c r="M26"/>
      <x:c r="N26" t="str">
        <x:v>ESS FOOD</x:v>
      </x:c>
      <x:c r="O26" s="10" t="str">
        <x:v>3900468066</x:v>
      </x:c>
      <x:c r="P26" s="10" t="str">
        <x:v>5354</x:v>
      </x:c>
      <x:c r="Q26" s="12" t="n">
        <x:v>25000</x:v>
      </x:c>
      <x:c r="R26" s="13" t="n">
        <x:v>1270504.5</x:v>
      </x:c>
      <x:c r="S26" t="str">
        <x:v>MXN</x:v>
      </x:c>
      <x:c r="T26" s="12" t="n">
        <x:v>1</x:v>
      </x:c>
      <x:c r="U26" s="11"/>
      <x:c r="V26" s="11"/>
      <x:c r="W26" s="24" t="str">
        <x:f>IF(AND(B26&lt;&gt;"",V26&lt;&gt;""),V26-B26,"")</x:f>
      </x:c>
      <x:c r="X26"/>
      <x:c r="Y26"/>
      <x:c r="Z26"/>
      <x:c r="AA26"/>
      <x:c r="AB26" s="11"/>
      <x:c r="AC26" s="11"/>
      <x:c r="AD26" s="24" t="str">
        <x:f>IF(AND(AB26&lt;&gt;"",AC26&lt;&gt;""),AC26-AB26,"")</x:f>
      </x:c>
      <x:c r="AE26" s="10"/>
      <x:c r="AF26"/>
      <x:c r="AG26"/>
      <x:c r="AH26" s="25" t="str">
        <x:f>IF(AND(B26&lt;&gt;"",AG26&lt;&gt;""),B26+AG26,"")</x:f>
      </x:c>
      <x:c r="AI26"/>
      <x:c r="AJ26"/>
      <x:c r="AK26" t="str">
        <x:v>Recibido</x:v>
      </x:c>
      <x:c r="AL26"/>
      <x:c r="AM26"/>
      <x:c r="AN26"/>
      <x:c r="AO26" s="10"/>
      <x:c r="AP26" s="10"/>
      <x:c r="AQ26"/>
      <x:c r="AR26" s="13"/>
      <x:c r="AS26" s="26" t="n">
        <x:f>IF(R26&lt;&gt;"",MAX(0,R26-AR26),"")</x:f>
        <x:v>1270504.5</x:v>
      </x:c>
      <x:c r="AT26" s="13"/>
      <x:c r="AU26" s="13"/>
      <x:c r="AV26" s="13"/>
      <x:c r="AW26" s="13"/>
      <x:c r="AX26" s="13"/>
      <x:c r="AY26" s="26" t="n">
        <x:f>IF(R26&lt;&gt;"",R26+AT26,"")</x:f>
        <x:v>1270504.5</x:v>
      </x:c>
      <x:c r="AZ26" s="27" t="n">
        <x:f>IF(Q26&gt;0,AY26/Q26,"")</x:f>
        <x:v>50.82018</x:v>
      </x:c>
      <x:c r="BA26" s="13"/>
      <x:c r="BB26" s="26" t="str">
        <x:f>IF(AND(BA26&lt;&gt;"",Q26&gt;0),BA26*Q26,"")</x:f>
      </x:c>
      <x:c r="BC26" s="26" t="str">
        <x:f>IF(AND(BB26&lt;&gt;"",AY26&lt;&gt;""),BB26-AY26,"")</x:f>
      </x:c>
      <x:c r="BD26" s="26" t="str">
        <x:f>IF(AND(BA26&lt;&gt;"",AZ26&lt;&gt;""),BA26-AZ26,"")</x:f>
      </x:c>
      <x:c r="BE26" s="28" t="str">
        <x:f>IF(BB26&gt;0,BC26/BB26,"")</x:f>
      </x:c>
      <x:c r="BF26" s="12"/>
      <x:c r="BG26" s="12"/>
      <x:c r="BH26"/>
      <x:c r="BI26" s="12"/>
      <x:c r="BJ26" s="12"/>
      <x:c r="BK26" s="28" t="n">
        <x:f>COUNTA(B26,G26,H26,I26,K26,M26,N26,Q26,R26,Y26,AE26,AF26,AI26,AK26)/14</x:f>
        <x:v>0.6428571428571429</x:v>
      </x:c>
      <x:c r="BL26" s="24" t="str">
        <x:f>IF(M26="","Falta país",IF(AE26="","Falta fracción",IF(AF26="","Falta Incoterm",IF(W26="","Falta tránsito",IF(X26="","Falta naviera",IF(AND(M26="Estados Unidos",AI26=""),"Falta inspección EE. UU.","Completo"))))))</x:f>
        <x:v>Falta país</x:v>
      </x:c>
      <x:c r="BM26" t="str">
        <x:v>001 Matriz</x:v>
      </x:c>
      <x:c r="BN26" t="str">
        <x:v>Porcino</x:v>
      </x:c>
      <x:c r="BO26" t="str">
        <x:v>Caja</x:v>
      </x:c>
      <x:c r="BP26"/>
      <x:c r="BQ26" s="12" t="n">
        <x:v>25000</x:v>
      </x:c>
      <x:c r="BR26" t="str">
        <x:v>Kilogramos</x:v>
      </x:c>
      <x:c r="BS26" s="12" t="n">
        <x:v>1</x:v>
      </x:c>
      <x:c r="BT26" s="13" t="n">
        <x:v>50.82</x:v>
      </x:c>
      <x:c r="BU26" s="13" t="n">
        <x:v>1270504.5</x:v>
      </x:c>
    </x:row>
    <x:row r="27">
      <x:c r="A27" s="10" t="str">
        <x:v>LOG-202607-0026</x:v>
      </x:c>
      <x:c r="B27" s="11" t="n">
        <x:v>46220</x:v>
      </x:c>
      <x:c r="C27" s="24" t="n">
        <x:f>YEAR(B27)</x:f>
        <x:v>2026</x:v>
      </x:c>
      <x:c r="D27" s="24" t="str">
        <x:f>TEXT(B27,"yyyy-mm")</x:f>
        <x:v>2026-07</x:v>
      </x:c>
      <x:c r="E27" s="24" t="n">
        <x:f>WEEKNUM(B27,2)</x:f>
        <x:v>29</x:v>
      </x:c>
      <x:c r="F27" s="10" t="str">
        <x:v>ORIG-787</x:v>
      </x:c>
      <x:c r="G27" s="10" t="str">
        <x:v>6178</x:v>
      </x:c>
      <x:c r="H27" s="10" t="str">
        <x:v>9270</x:v>
      </x:c>
      <x:c r="I27" t="str">
        <x:v>Pierna de Cerdo (Cb)</x:v>
      </x:c>
      <x:c r="J27" t="str">
        <x:v>Cerdo congelado</x:v>
      </x:c>
      <x:c r="K27" t="str">
        <x:v>003 Granja Calle 7</x:v>
      </x:c>
      <x:c r="L27" t="str">
        <x:v>Internacional</x:v>
      </x:c>
      <x:c r="M27" t="str">
        <x:v>Canadá</x:v>
      </x:c>
      <x:c r="N27" t="str">
        <x:v>CANADA PACKERS INC</x:v>
      </x:c>
      <x:c r="O27" s="10" t="str">
        <x:v>9601934135</x:v>
      </x:c>
      <x:c r="P27" s="10" t="str">
        <x:v>5368</x:v>
      </x:c>
      <x:c r="Q27" s="12" t="n">
        <x:v>18755.21</x:v>
      </x:c>
      <x:c r="R27" s="13" t="n">
        <x:v>847385.15</x:v>
      </x:c>
      <x:c r="S27" t="str">
        <x:v>MXN</x:v>
      </x:c>
      <x:c r="T27" s="12" t="n">
        <x:v>1</x:v>
      </x:c>
      <x:c r="U27" s="11"/>
      <x:c r="V27" s="11"/>
      <x:c r="W27" s="24" t="str">
        <x:f>IF(AND(B27&lt;&gt;"",V27&lt;&gt;""),V27-B27,"")</x:f>
      </x:c>
      <x:c r="X27"/>
      <x:c r="Y27" t="str">
        <x:v>Terrestre</x:v>
      </x:c>
      <x:c r="Z27"/>
      <x:c r="AA27"/>
      <x:c r="AB27" s="11"/>
      <x:c r="AC27" s="11"/>
      <x:c r="AD27" s="24" t="str">
        <x:f>IF(AND(AB27&lt;&gt;"",AC27&lt;&gt;""),AC27-AB27,"")</x:f>
      </x:c>
      <x:c r="AE27" s="10"/>
      <x:c r="AF27"/>
      <x:c r="AG27"/>
      <x:c r="AH27" s="25" t="str">
        <x:f>IF(AND(B27&lt;&gt;"",AG27&lt;&gt;""),B27+AG27,"")</x:f>
      </x:c>
      <x:c r="AI27" t="str">
        <x:v>No aplica</x:v>
      </x:c>
      <x:c r="AJ27"/>
      <x:c r="AK27" t="str">
        <x:v>Recibido</x:v>
      </x:c>
      <x:c r="AL27" t="str">
        <x:v>Completo</x:v>
      </x:c>
      <x:c r="AM27"/>
      <x:c r="AN27" t="str">
        <x:v>Logística</x:v>
      </x:c>
      <x:c r="AO27" s="10" t="str">
        <x:v>26 24 1686 6028009</x:v>
      </x:c>
      <x:c r="AP27" s="10" t="str">
        <x:v>PG45923/26</x:v>
      </x:c>
      <x:c r="AQ27"/>
      <x:c r="AR27" s="13"/>
      <x:c r="AS27" s="26" t="n">
        <x:f>IF(R27&lt;&gt;"",MAX(0,R27-AR27),"")</x:f>
        <x:v>847385.15</x:v>
      </x:c>
      <x:c r="AT27" s="13" t="n">
        <x:v>40610.2</x:v>
      </x:c>
      <x:c r="AU27" s="13"/>
      <x:c r="AV27" s="13"/>
      <x:c r="AW27" s="13"/>
      <x:c r="AX27" s="13"/>
      <x:c r="AY27" s="26" t="n">
        <x:f>IF(R27&lt;&gt;"",R27+AT27,"")</x:f>
        <x:v>887995.35</x:v>
      </x:c>
      <x:c r="AZ27" s="27" t="n">
        <x:f>IF(Q27&gt;0,AY27/Q27,"")</x:f>
        <x:v>47.3465959592028</x:v>
      </x:c>
      <x:c r="BA27" s="13" t="n">
        <x:v>45</x:v>
      </x:c>
      <x:c r="BB27" s="26" t="n">
        <x:f>IF(AND(BA27&lt;&gt;"",Q27&gt;0),BA27*Q27,"")</x:f>
        <x:v>843984.45</x:v>
      </x:c>
      <x:c r="BC27" s="26" t="n">
        <x:f>IF(AND(BB27&lt;&gt;"",AY27&lt;&gt;""),BB27-AY27,"")</x:f>
        <x:v>-44010.90000000002</x:v>
      </x:c>
      <x:c r="BD27" s="26" t="n">
        <x:f>IF(AND(BA27&lt;&gt;"",AZ27&lt;&gt;""),BA27-AZ27,"")</x:f>
        <x:v>-2.3465959592028014</x:v>
      </x:c>
      <x:c r="BE27" s="28" t="n">
        <x:f>IF(BB27&gt;0,BC27/BB27,"")</x:f>
        <x:v>-0.052146576871173425</x:v>
      </x:c>
      <x:c r="BF27" s="12"/>
      <x:c r="BG27" s="12"/>
      <x:c r="BH27"/>
      <x:c r="BI27" s="12"/>
      <x:c r="BJ27" s="12"/>
      <x:c r="BK27" s="28" t="n">
        <x:f>COUNTA(B27,G27,H27,I27,K27,M27,N27,Q27,R27,Y27,AE27,AF27,AI27,AK27)/14</x:f>
        <x:v>0.8571428571428571</x:v>
      </x:c>
      <x:c r="BL27" s="24" t="str">
        <x:f>IF(M27="","Falta país",IF(AE27="","Falta fracción",IF(AF27="","Falta Incoterm",IF(W27="","Falta tránsito",IF(X27="","Falta naviera",IF(AND(M27="Estados Unidos",AI27=""),"Falta inspección EE. UU.","Completo"))))))</x:f>
        <x:v>Falta fracción</x:v>
      </x:c>
      <x:c r="BM27" t="str">
        <x:v>001 Matriz</x:v>
      </x:c>
      <x:c r="BN27" t="str">
        <x:v>Porcino</x:v>
      </x:c>
      <x:c r="BO27" t="str">
        <x:v>Combo</x:v>
      </x:c>
      <x:c r="BP27"/>
      <x:c r="BQ27" s="12" t="n">
        <x:v>18755.21</x:v>
      </x:c>
      <x:c r="BR27" t="str">
        <x:v>Kilogramos</x:v>
      </x:c>
      <x:c r="BS27" s="12" t="n">
        <x:v>1</x:v>
      </x:c>
      <x:c r="BT27" s="13" t="n">
        <x:v>45.18</x:v>
      </x:c>
      <x:c r="BU27" s="13" t="n">
        <x:v>847385.15</x:v>
      </x:c>
    </x:row>
    <x:row r="28">
      <x:c r="A28" s="10" t="str">
        <x:v>LOG-202607-0027</x:v>
      </x:c>
      <x:c r="B28" s="11" t="n">
        <x:v>46220</x:v>
      </x:c>
      <x:c r="C28" s="24" t="n">
        <x:f>YEAR(B28)</x:f>
        <x:v>2026</x:v>
      </x:c>
      <x:c r="D28" s="24" t="str">
        <x:f>TEXT(B28,"yyyy-mm")</x:f>
        <x:v>2026-07</x:v>
      </x:c>
      <x:c r="E28" s="24" t="n">
        <x:f>WEEKNUM(B28,2)</x:f>
        <x:v>29</x:v>
      </x:c>
      <x:c r="F28" s="10" t="str">
        <x:v>ORIG-788</x:v>
      </x:c>
      <x:c r="G28" s="10" t="str">
        <x:v>6174</x:v>
      </x:c>
      <x:c r="H28" s="10" t="str">
        <x:v>9270</x:v>
      </x:c>
      <x:c r="I28" t="str">
        <x:v>Pierna de Cerdo (Cb)</x:v>
      </x:c>
      <x:c r="J28" t="str">
        <x:v>Cerdo congelado</x:v>
      </x:c>
      <x:c r="K28" t="str">
        <x:v>003 Granja Calle 7</x:v>
      </x:c>
      <x:c r="L28" t="str">
        <x:v>Internacional</x:v>
      </x:c>
      <x:c r="M28" t="str">
        <x:v>Canadá</x:v>
      </x:c>
      <x:c r="N28" t="str">
        <x:v>BMG TRADING</x:v>
      </x:c>
      <x:c r="O28" s="10" t="str">
        <x:v>11655</x:v>
      </x:c>
      <x:c r="P28" s="10" t="str">
        <x:v>5414</x:v>
      </x:c>
      <x:c r="Q28" s="12" t="n">
        <x:v>18669.88</x:v>
      </x:c>
      <x:c r="R28" s="13" t="n">
        <x:v>833694.59</x:v>
      </x:c>
      <x:c r="S28" t="str">
        <x:v>MXN</x:v>
      </x:c>
      <x:c r="T28" s="12" t="n">
        <x:v>1</x:v>
      </x:c>
      <x:c r="U28" s="11"/>
      <x:c r="V28" s="11"/>
      <x:c r="W28" s="24" t="str">
        <x:f>IF(AND(B28&lt;&gt;"",V28&lt;&gt;""),V28-B28,"")</x:f>
      </x:c>
      <x:c r="X28"/>
      <x:c r="Y28" t="str">
        <x:v>Terrestre</x:v>
      </x:c>
      <x:c r="Z28"/>
      <x:c r="AA28"/>
      <x:c r="AB28" s="11"/>
      <x:c r="AC28" s="11"/>
      <x:c r="AD28" s="24" t="str">
        <x:f>IF(AND(AB28&lt;&gt;"",AC28&lt;&gt;""),AC28-AB28,"")</x:f>
      </x:c>
      <x:c r="AE28" s="10"/>
      <x:c r="AF28"/>
      <x:c r="AG28"/>
      <x:c r="AH28" s="25" t="str">
        <x:f>IF(AND(B28&lt;&gt;"",AG28&lt;&gt;""),B28+AG28,"")</x:f>
      </x:c>
      <x:c r="AI28" t="str">
        <x:v>No aplica</x:v>
      </x:c>
      <x:c r="AJ28"/>
      <x:c r="AK28" t="str">
        <x:v>Recibido</x:v>
      </x:c>
      <x:c r="AL28" t="str">
        <x:v>Completo</x:v>
      </x:c>
      <x:c r="AM28"/>
      <x:c r="AN28" t="str">
        <x:v>Logística</x:v>
      </x:c>
      <x:c r="AO28" s="10" t="str">
        <x:v>26 24 1686 6027790</x:v>
      </x:c>
      <x:c r="AP28" s="10" t="str">
        <x:v>PG45479/26</x:v>
      </x:c>
      <x:c r="AQ28"/>
      <x:c r="AR28" s="13"/>
      <x:c r="AS28" s="26" t="n">
        <x:f>IF(R28&lt;&gt;"",MAX(0,R28-AR28),"")</x:f>
        <x:v>833694.59</x:v>
      </x:c>
      <x:c r="AT28" s="13" t="n">
        <x:v>44060.2</x:v>
      </x:c>
      <x:c r="AU28" s="13"/>
      <x:c r="AV28" s="13"/>
      <x:c r="AW28" s="13"/>
      <x:c r="AX28" s="13"/>
      <x:c r="AY28" s="26" t="n">
        <x:f>IF(R28&lt;&gt;"",R28+AT28,"")</x:f>
        <x:v>877754.7899999999</x:v>
      </x:c>
      <x:c r="AZ28" s="27" t="n">
        <x:f>IF(Q28&gt;0,AY28/Q28,"")</x:f>
        <x:v>47.01448482796889</x:v>
      </x:c>
      <x:c r="BA28" s="13" t="n">
        <x:v>45</x:v>
      </x:c>
      <x:c r="BB28" s="26" t="n">
        <x:f>IF(AND(BA28&lt;&gt;"",Q28&gt;0),BA28*Q28,"")</x:f>
        <x:v>840144.6000000001</x:v>
      </x:c>
      <x:c r="BC28" s="26" t="n">
        <x:f>IF(AND(BB28&lt;&gt;"",AY28&lt;&gt;""),BB28-AY28,"")</x:f>
        <x:v>-37610.18999999983</x:v>
      </x:c>
      <x:c r="BD28" s="26" t="n">
        <x:f>IF(AND(BA28&lt;&gt;"",AZ28&lt;&gt;""),BA28-AZ28,"")</x:f>
        <x:v>-2.014484827968893</x:v>
      </x:c>
      <x:c r="BE28" s="28" t="n">
        <x:f>IF(BB28&gt;0,BC28/BB28,"")</x:f>
        <x:v>-0.04476632951041978</x:v>
      </x:c>
      <x:c r="BF28" s="12"/>
      <x:c r="BG28" s="12"/>
      <x:c r="BH28"/>
      <x:c r="BI28" s="12"/>
      <x:c r="BJ28" s="12"/>
      <x:c r="BK28" s="28" t="n">
        <x:f>COUNTA(B28,G28,H28,I28,K28,M28,N28,Q28,R28,Y28,AE28,AF28,AI28,AK28)/14</x:f>
        <x:v>0.8571428571428571</x:v>
      </x:c>
      <x:c r="BL28" s="24" t="str">
        <x:f>IF(M28="","Falta país",IF(AE28="","Falta fracción",IF(AF28="","Falta Incoterm",IF(W28="","Falta tránsito",IF(X28="","Falta naviera",IF(AND(M28="Estados Unidos",AI28=""),"Falta inspección EE. UU.","Completo"))))))</x:f>
        <x:v>Falta fracción</x:v>
      </x:c>
      <x:c r="BM28" t="str">
        <x:v>001 Matriz</x:v>
      </x:c>
      <x:c r="BN28" t="str">
        <x:v>Porcino</x:v>
      </x:c>
      <x:c r="BO28" t="str">
        <x:v>Combo</x:v>
      </x:c>
      <x:c r="BP28"/>
      <x:c r="BQ28" s="12" t="n">
        <x:v>18669.88</x:v>
      </x:c>
      <x:c r="BR28" t="str">
        <x:v>Kilogramos</x:v>
      </x:c>
      <x:c r="BS28" s="12" t="n">
        <x:v>1</x:v>
      </x:c>
      <x:c r="BT28" s="13" t="n">
        <x:v>44.65</x:v>
      </x:c>
      <x:c r="BU28" s="13" t="n">
        <x:v>833694.59</x:v>
      </x:c>
    </x:row>
    <x:row r="29">
      <x:c r="A29" s="10" t="str">
        <x:v>LOG-202607-0028</x:v>
      </x:c>
      <x:c r="B29" s="11" t="n">
        <x:v>46220</x:v>
      </x:c>
      <x:c r="C29" s="24" t="n">
        <x:f>YEAR(B29)</x:f>
        <x:v>2026</x:v>
      </x:c>
      <x:c r="D29" s="24" t="str">
        <x:f>TEXT(B29,"yyyy-mm")</x:f>
        <x:v>2026-07</x:v>
      </x:c>
      <x:c r="E29" s="24" t="n">
        <x:f>WEEKNUM(B29,2)</x:f>
        <x:v>29</x:v>
      </x:c>
      <x:c r="F29" s="10" t="str">
        <x:v>ORIG-813</x:v>
      </x:c>
      <x:c r="G29" s="10" t="str">
        <x:v>6172</x:v>
      </x:c>
      <x:c r="H29" s="10" t="str">
        <x:v>9052</x:v>
      </x:c>
      <x:c r="I29" t="str">
        <x:v>Tripa de Res Delgada Cruda (Cj)</x:v>
      </x:c>
      <x:c r="J29" t="str">
        <x:v>Res congelada</x:v>
      </x:c>
      <x:c r="K29" t="str">
        <x:v>003 Granja Calle 7</x:v>
      </x:c>
      <x:c r="L29" t="str">
        <x:v>Internacional</x:v>
      </x:c>
      <x:c r="M29" t="str">
        <x:v>Estados Unidos</x:v>
      </x:c>
      <x:c r="N29" t="str">
        <x:v>NORTHERN BEEF INDUSTRIES</x:v>
      </x:c>
      <x:c r="O29" s="10" t="str">
        <x:v>67382</x:v>
      </x:c>
      <x:c r="P29" s="10" t="str">
        <x:v>5448</x:v>
      </x:c>
      <x:c r="Q29" s="12" t="n">
        <x:v>17962.44</x:v>
      </x:c>
      <x:c r="R29" s="13" t="n">
        <x:v>766671.76</x:v>
      </x:c>
      <x:c r="S29" t="str">
        <x:v>MXN</x:v>
      </x:c>
      <x:c r="T29" s="12" t="n">
        <x:v>1</x:v>
      </x:c>
      <x:c r="U29" s="11"/>
      <x:c r="V29" s="11"/>
      <x:c r="W29" s="24" t="str">
        <x:f>IF(AND(B29&lt;&gt;"",V29&lt;&gt;""),V29-B29,"")</x:f>
      </x:c>
      <x:c r="X29"/>
      <x:c r="Y29" t="str">
        <x:v>Terrestre</x:v>
      </x:c>
      <x:c r="Z29"/>
      <x:c r="AA29"/>
      <x:c r="AB29" s="11"/>
      <x:c r="AC29" s="11"/>
      <x:c r="AD29" s="24" t="str">
        <x:f>IF(AND(AB29&lt;&gt;"",AC29&lt;&gt;""),AC29-AB29,"")</x:f>
      </x:c>
      <x:c r="AE29" s="10"/>
      <x:c r="AF29"/>
      <x:c r="AG29"/>
      <x:c r="AH29" s="25" t="str">
        <x:f>IF(AND(B29&lt;&gt;"",AG29&lt;&gt;""),B29+AG29,"")</x:f>
      </x:c>
      <x:c r="AI29"/>
      <x:c r="AJ29"/>
      <x:c r="AK29" t="str">
        <x:v>Recibido</x:v>
      </x:c>
      <x:c r="AL29" t="str">
        <x:v>Completo</x:v>
      </x:c>
      <x:c r="AM29"/>
      <x:c r="AN29" t="str">
        <x:v>Logística</x:v>
      </x:c>
      <x:c r="AO29" s="10" t="str">
        <x:v>26 24 1686 6027606</x:v>
      </x:c>
      <x:c r="AP29" s="10" t="str">
        <x:v>PG45151/26</x:v>
      </x:c>
      <x:c r="AQ29"/>
      <x:c r="AR29" s="13"/>
      <x:c r="AS29" s="26" t="n">
        <x:f>IF(R29&lt;&gt;"",MAX(0,R29-AR29),"")</x:f>
        <x:v>766671.76</x:v>
      </x:c>
      <x:c r="AT29" s="13" t="n">
        <x:v>44879.2</x:v>
      </x:c>
      <x:c r="AU29" s="13"/>
      <x:c r="AV29" s="13"/>
      <x:c r="AW29" s="13"/>
      <x:c r="AX29" s="13"/>
      <x:c r="AY29" s="26" t="n">
        <x:f>IF(R29&lt;&gt;"",R29+AT29,"")</x:f>
        <x:v>811550.96</x:v>
      </x:c>
      <x:c r="AZ29" s="27" t="n">
        <x:f>IF(Q29&gt;0,AY29/Q29,"")</x:f>
        <x:v>45.18044096459056</x:v>
      </x:c>
      <x:c r="BA29" s="13" t="n">
        <x:v>75</x:v>
      </x:c>
      <x:c r="BB29" s="26" t="n">
        <x:f>IF(AND(BA29&lt;&gt;"",Q29&gt;0),BA29*Q29,"")</x:f>
        <x:v>1347183</x:v>
      </x:c>
      <x:c r="BC29" s="26" t="n">
        <x:f>IF(AND(BB29&lt;&gt;"",AY29&lt;&gt;""),BB29-AY29,"")</x:f>
        <x:v>535632.04</x:v>
      </x:c>
      <x:c r="BD29" s="26" t="n">
        <x:f>IF(AND(BA29&lt;&gt;"",AZ29&lt;&gt;""),BA29-AZ29,"")</x:f>
        <x:v>29.81955903540944</x:v>
      </x:c>
      <x:c r="BE29" s="28" t="n">
        <x:f>IF(BB29&gt;0,BC29/BB29,"")</x:f>
        <x:v>0.39759412047212594</x:v>
      </x:c>
      <x:c r="BF29" s="12"/>
      <x:c r="BG29" s="12"/>
      <x:c r="BH29"/>
      <x:c r="BI29" s="12"/>
      <x:c r="BJ29" s="12"/>
      <x:c r="BK29" s="28" t="n">
        <x:f>COUNTA(B29,G29,H29,I29,K29,M29,N29,Q29,R29,Y29,AE29,AF29,AI29,AK29)/14</x:f>
        <x:v>0.7857142857142857</x:v>
      </x:c>
      <x:c r="BL29" s="24" t="str">
        <x:f>IF(M29="","Falta país",IF(AE29="","Falta fracción",IF(AF29="","Falta Incoterm",IF(W29="","Falta tránsito",IF(X29="","Falta naviera",IF(AND(M29="Estados Unidos",AI29=""),"Falta inspección EE. UU.","Completo"))))))</x:f>
        <x:v>Falta fracción</x:v>
      </x:c>
      <x:c r="BM29" t="str">
        <x:v>001 Matriz</x:v>
      </x:c>
      <x:c r="BN29" t="str">
        <x:v>Bovino</x:v>
      </x:c>
      <x:c r="BO29" t="str">
        <x:v>Caja</x:v>
      </x:c>
      <x:c r="BP29"/>
      <x:c r="BQ29" s="12" t="n">
        <x:v>17962.44</x:v>
      </x:c>
      <x:c r="BR29" t="str">
        <x:v>Kilogramos</x:v>
      </x:c>
      <x:c r="BS29" s="12" t="n">
        <x:v>1</x:v>
      </x:c>
      <x:c r="BT29" s="13" t="n">
        <x:v>42.68</x:v>
      </x:c>
      <x:c r="BU29" s="13" t="n">
        <x:v>766671.76</x:v>
      </x:c>
    </x:row>
    <x:row r="30">
      <x:c r="A30" s="10" t="str">
        <x:v>LOG-202607-0029</x:v>
      </x:c>
      <x:c r="B30" s="11" t="n">
        <x:v>46219</x:v>
      </x:c>
      <x:c r="C30" s="24" t="n">
        <x:f>YEAR(B30)</x:f>
        <x:v>2026</x:v>
      </x:c>
      <x:c r="D30" s="24" t="str">
        <x:f>TEXT(B30,"yyyy-mm")</x:f>
        <x:v>2026-07</x:v>
      </x:c>
      <x:c r="E30" s="24" t="n">
        <x:f>WEEKNUM(B30,2)</x:f>
        <x:v>29</x:v>
      </x:c>
      <x:c r="F30" s="10" t="str">
        <x:v>ORIG-888</x:v>
      </x:c>
      <x:c r="G30" s="10" t="str">
        <x:v>6169</x:v>
      </x:c>
      <x:c r="H30" s="10" t="str">
        <x:v>9128</x:v>
      </x:c>
      <x:c r="I30" t="str">
        <x:v>Buche Crudo Mariposa (Cj)</x:v>
      </x:c>
      <x:c r="J30" t="str">
        <x:v>Cerdo congelado</x:v>
      </x:c>
      <x:c r="K30" t="str">
        <x:v>003 Granja Calle 7</x:v>
      </x:c>
      <x:c r="L30" t="str">
        <x:v>Internacional</x:v>
      </x:c>
      <x:c r="M30"/>
      <x:c r="N30" t="str">
        <x:v>ESS FOOD</x:v>
      </x:c>
      <x:c r="O30" s="10" t="str">
        <x:v>3900467677</x:v>
      </x:c>
      <x:c r="P30" s="10" t="str">
        <x:v>5277</x:v>
      </x:c>
      <x:c r="Q30" s="12" t="n">
        <x:v>25000</x:v>
      </x:c>
      <x:c r="R30" s="13" t="n">
        <x:v>1217370</x:v>
      </x:c>
      <x:c r="S30" t="str">
        <x:v>MXN</x:v>
      </x:c>
      <x:c r="T30" s="12" t="n">
        <x:v>1</x:v>
      </x:c>
      <x:c r="U30" s="11"/>
      <x:c r="V30" s="11"/>
      <x:c r="W30" s="24" t="str">
        <x:f>IF(AND(B30&lt;&gt;"",V30&lt;&gt;""),V30-B30,"")</x:f>
      </x:c>
      <x:c r="X30"/>
      <x:c r="Y30"/>
      <x:c r="Z30"/>
      <x:c r="AA30"/>
      <x:c r="AB30" s="11"/>
      <x:c r="AC30" s="11"/>
      <x:c r="AD30" s="24" t="str">
        <x:f>IF(AND(AB30&lt;&gt;"",AC30&lt;&gt;""),AC30-AB30,"")</x:f>
      </x:c>
      <x:c r="AE30" s="10"/>
      <x:c r="AF30"/>
      <x:c r="AG30"/>
      <x:c r="AH30" s="25" t="str">
        <x:f>IF(AND(B30&lt;&gt;"",AG30&lt;&gt;""),B30+AG30,"")</x:f>
      </x:c>
      <x:c r="AI30"/>
      <x:c r="AJ30"/>
      <x:c r="AK30" t="str">
        <x:v>Recibido</x:v>
      </x:c>
      <x:c r="AL30"/>
      <x:c r="AM30"/>
      <x:c r="AN30"/>
      <x:c r="AO30" s="10"/>
      <x:c r="AP30" s="10"/>
      <x:c r="AQ30"/>
      <x:c r="AR30" s="13"/>
      <x:c r="AS30" s="26" t="n">
        <x:f>IF(R30&lt;&gt;"",MAX(0,R30-AR30),"")</x:f>
        <x:v>1217370</x:v>
      </x:c>
      <x:c r="AT30" s="13"/>
      <x:c r="AU30" s="13"/>
      <x:c r="AV30" s="13"/>
      <x:c r="AW30" s="13"/>
      <x:c r="AX30" s="13"/>
      <x:c r="AY30" s="26" t="n">
        <x:f>IF(R30&lt;&gt;"",R30+AT30,"")</x:f>
        <x:v>1217370</x:v>
      </x:c>
      <x:c r="AZ30" s="27" t="n">
        <x:f>IF(Q30&gt;0,AY30/Q30,"")</x:f>
        <x:v>48.6948</x:v>
      </x:c>
      <x:c r="BA30" s="13"/>
      <x:c r="BB30" s="26" t="str">
        <x:f>IF(AND(BA30&lt;&gt;"",Q30&gt;0),BA30*Q30,"")</x:f>
      </x:c>
      <x:c r="BC30" s="26" t="str">
        <x:f>IF(AND(BB30&lt;&gt;"",AY30&lt;&gt;""),BB30-AY30,"")</x:f>
      </x:c>
      <x:c r="BD30" s="26" t="str">
        <x:f>IF(AND(BA30&lt;&gt;"",AZ30&lt;&gt;""),BA30-AZ30,"")</x:f>
      </x:c>
      <x:c r="BE30" s="28" t="str">
        <x:f>IF(BB30&gt;0,BC30/BB30,"")</x:f>
      </x:c>
      <x:c r="BF30" s="12"/>
      <x:c r="BG30" s="12"/>
      <x:c r="BH30"/>
      <x:c r="BI30" s="12"/>
      <x:c r="BJ30" s="12"/>
      <x:c r="BK30" s="28" t="n">
        <x:f>COUNTA(B30,G30,H30,I30,K30,M30,N30,Q30,R30,Y30,AE30,AF30,AI30,AK30)/14</x:f>
        <x:v>0.6428571428571429</x:v>
      </x:c>
      <x:c r="BL30" s="24" t="str">
        <x:f>IF(M30="","Falta país",IF(AE30="","Falta fracción",IF(AF30="","Falta Incoterm",IF(W30="","Falta tránsito",IF(X30="","Falta naviera",IF(AND(M30="Estados Unidos",AI30=""),"Falta inspección EE. UU.","Completo"))))))</x:f>
        <x:v>Falta país</x:v>
      </x:c>
      <x:c r="BM30" t="str">
        <x:v>001 Matriz</x:v>
      </x:c>
      <x:c r="BN30" t="str">
        <x:v>Porcino</x:v>
      </x:c>
      <x:c r="BO30" t="str">
        <x:v>Caja</x:v>
      </x:c>
      <x:c r="BP30"/>
      <x:c r="BQ30" s="12" t="n">
        <x:v>25000</x:v>
      </x:c>
      <x:c r="BR30" t="str">
        <x:v>Kilogramos</x:v>
      </x:c>
      <x:c r="BS30" s="12" t="n">
        <x:v>1</x:v>
      </x:c>
      <x:c r="BT30" s="13" t="n">
        <x:v>48.69</x:v>
      </x:c>
      <x:c r="BU30" s="13" t="n">
        <x:v>1217370</x:v>
      </x:c>
    </x:row>
    <x:row r="31">
      <x:c r="A31" s="10" t="str">
        <x:v>LOG-202607-0030</x:v>
      </x:c>
      <x:c r="B31" s="11" t="n">
        <x:v>46218</x:v>
      </x:c>
      <x:c r="C31" s="24" t="n">
        <x:f>YEAR(B31)</x:f>
        <x:v>2026</x:v>
      </x:c>
      <x:c r="D31" s="24" t="str">
        <x:f>TEXT(B31,"yyyy-mm")</x:f>
        <x:v>2026-07</x:v>
      </x:c>
      <x:c r="E31" s="24" t="n">
        <x:f>WEEKNUM(B31,2)</x:f>
        <x:v>29</x:v>
      </x:c>
      <x:c r="F31" s="10" t="str">
        <x:v>ORIG-939</x:v>
      </x:c>
      <x:c r="G31" s="10" t="str">
        <x:v>6186</x:v>
      </x:c>
      <x:c r="H31" s="10" t="str">
        <x:v>9172</x:v>
      </x:c>
      <x:c r="I31" t="str">
        <x:v>Codillo S/Perico (Cj)</x:v>
      </x:c>
      <x:c r="J31" t="str">
        <x:v>Cerdo congelado</x:v>
      </x:c>
      <x:c r="K31" t="str">
        <x:v>003 Granja Calle 7</x:v>
      </x:c>
      <x:c r="L31" t="str">
        <x:v>Internacional</x:v>
      </x:c>
      <x:c r="M31"/>
      <x:c r="N31" t="str">
        <x:v>MASTER AGROINDUSTRIAL</x:v>
      </x:c>
      <x:c r="O31" s="10" t="str">
        <x:v>260707</x:v>
      </x:c>
      <x:c r="P31" s="10" t="str">
        <x:v>5431</x:v>
      </x:c>
      <x:c r="Q31" s="12" t="n">
        <x:v>24986.81</x:v>
      </x:c>
      <x:c r="R31" s="13" t="n">
        <x:v>505139.55</x:v>
      </x:c>
      <x:c r="S31" t="str">
        <x:v>MXN</x:v>
      </x:c>
      <x:c r="T31" s="12" t="n">
        <x:v>1</x:v>
      </x:c>
      <x:c r="U31" s="11"/>
      <x:c r="V31" s="11"/>
      <x:c r="W31" s="24" t="str">
        <x:f>IF(AND(B31&lt;&gt;"",V31&lt;&gt;""),V31-B31,"")</x:f>
      </x:c>
      <x:c r="X31"/>
      <x:c r="Y31"/>
      <x:c r="Z31"/>
      <x:c r="AA31"/>
      <x:c r="AB31" s="11"/>
      <x:c r="AC31" s="11"/>
      <x:c r="AD31" s="24" t="str">
        <x:f>IF(AND(AB31&lt;&gt;"",AC31&lt;&gt;""),AC31-AB31,"")</x:f>
      </x:c>
      <x:c r="AE31" s="10"/>
      <x:c r="AF31"/>
      <x:c r="AG31"/>
      <x:c r="AH31" s="25" t="str">
        <x:f>IF(AND(B31&lt;&gt;"",AG31&lt;&gt;""),B31+AG31,"")</x:f>
      </x:c>
      <x:c r="AI31"/>
      <x:c r="AJ31"/>
      <x:c r="AK31" t="str">
        <x:v>Recibido</x:v>
      </x:c>
      <x:c r="AL31"/>
      <x:c r="AM31"/>
      <x:c r="AN31"/>
      <x:c r="AO31" s="10"/>
      <x:c r="AP31" s="10"/>
      <x:c r="AQ31"/>
      <x:c r="AR31" s="13"/>
      <x:c r="AS31" s="26" t="n">
        <x:f>IF(R31&lt;&gt;"",MAX(0,R31-AR31),"")</x:f>
        <x:v>505139.55</x:v>
      </x:c>
      <x:c r="AT31" s="13"/>
      <x:c r="AU31" s="13"/>
      <x:c r="AV31" s="13"/>
      <x:c r="AW31" s="13"/>
      <x:c r="AX31" s="13"/>
      <x:c r="AY31" s="26" t="n">
        <x:f>IF(R31&lt;&gt;"",R31+AT31,"")</x:f>
        <x:v>505139.55</x:v>
      </x:c>
      <x:c r="AZ31" s="27" t="n">
        <x:f>IF(Q31&gt;0,AY31/Q31,"")</x:f>
        <x:v>20.216248092493597</x:v>
      </x:c>
      <x:c r="BA31" s="13"/>
      <x:c r="BB31" s="26" t="str">
        <x:f>IF(AND(BA31&lt;&gt;"",Q31&gt;0),BA31*Q31,"")</x:f>
      </x:c>
      <x:c r="BC31" s="26" t="str">
        <x:f>IF(AND(BB31&lt;&gt;"",AY31&lt;&gt;""),BB31-AY31,"")</x:f>
      </x:c>
      <x:c r="BD31" s="26" t="str">
        <x:f>IF(AND(BA31&lt;&gt;"",AZ31&lt;&gt;""),BA31-AZ31,"")</x:f>
      </x:c>
      <x:c r="BE31" s="28" t="str">
        <x:f>IF(BB31&gt;0,BC31/BB31,"")</x:f>
      </x:c>
      <x:c r="BF31" s="12"/>
      <x:c r="BG31" s="12"/>
      <x:c r="BH31"/>
      <x:c r="BI31" s="12"/>
      <x:c r="BJ31" s="12"/>
      <x:c r="BK31" s="28" t="n">
        <x:f>COUNTA(B31,G31,H31,I31,K31,M31,N31,Q31,R31,Y31,AE31,AF31,AI31,AK31)/14</x:f>
        <x:v>0.6428571428571429</x:v>
      </x:c>
      <x:c r="BL31" s="24" t="str">
        <x:f>IF(M31="","Falta país",IF(AE31="","Falta fracción",IF(AF31="","Falta Incoterm",IF(W31="","Falta tránsito",IF(X31="","Falta naviera",IF(AND(M31="Estados Unidos",AI31=""),"Falta inspección EE. UU.","Completo"))))))</x:f>
        <x:v>Falta país</x:v>
      </x:c>
      <x:c r="BM31" t="str">
        <x:v>001 Matriz</x:v>
      </x:c>
      <x:c r="BN31" t="str">
        <x:v>Porcino</x:v>
      </x:c>
      <x:c r="BO31" t="str">
        <x:v>Caja</x:v>
      </x:c>
      <x:c r="BP31"/>
      <x:c r="BQ31" s="12" t="n">
        <x:v>24986.81</x:v>
      </x:c>
      <x:c r="BR31" t="str">
        <x:v>Kilogramos</x:v>
      </x:c>
      <x:c r="BS31" s="12" t="n">
        <x:v>1</x:v>
      </x:c>
      <x:c r="BT31" s="13" t="n">
        <x:v>20.22</x:v>
      </x:c>
      <x:c r="BU31" s="13" t="n">
        <x:v>505139.55</x:v>
      </x:c>
    </x:row>
    <x:row r="32">
      <x:c r="A32" s="10" t="str">
        <x:v>LOG-202607-0031</x:v>
      </x:c>
      <x:c r="B32" s="11" t="n">
        <x:v>46218</x:v>
      </x:c>
      <x:c r="C32" s="24" t="n">
        <x:f>YEAR(B32)</x:f>
        <x:v>2026</x:v>
      </x:c>
      <x:c r="D32" s="24" t="str">
        <x:f>TEXT(B32,"yyyy-mm")</x:f>
        <x:v>2026-07</x:v>
      </x:c>
      <x:c r="E32" s="24" t="n">
        <x:f>WEEKNUM(B32,2)</x:f>
        <x:v>29</x:v>
      </x:c>
      <x:c r="F32" s="10" t="str">
        <x:v>ORIG-940</x:v>
      </x:c>
      <x:c r="G32" s="10" t="str">
        <x:v>6173</x:v>
      </x:c>
      <x:c r="H32" s="10" t="str">
        <x:v>9270</x:v>
      </x:c>
      <x:c r="I32" t="str">
        <x:v>Pierna de Cerdo (Cb)</x:v>
      </x:c>
      <x:c r="J32" t="str">
        <x:v>Cerdo congelado</x:v>
      </x:c>
      <x:c r="K32" t="str">
        <x:v>003 Granja Calle 7</x:v>
      </x:c>
      <x:c r="L32" t="str">
        <x:v>Internacional</x:v>
      </x:c>
      <x:c r="M32" t="str">
        <x:v>Canadá</x:v>
      </x:c>
      <x:c r="N32" t="str">
        <x:v>HYLIFE FOODS LP</x:v>
      </x:c>
      <x:c r="O32" s="10" t="str">
        <x:v>INN0307971</x:v>
      </x:c>
      <x:c r="P32" s="10" t="str">
        <x:v>5400</x:v>
      </x:c>
      <x:c r="Q32" s="12" t="n">
        <x:v>18656</x:v>
      </x:c>
      <x:c r="R32" s="13" t="n">
        <x:v>832415.35</x:v>
      </x:c>
      <x:c r="S32" t="str">
        <x:v>MXN</x:v>
      </x:c>
      <x:c r="T32" s="12" t="n">
        <x:v>1</x:v>
      </x:c>
      <x:c r="U32" s="11"/>
      <x:c r="V32" s="11"/>
      <x:c r="W32" s="24" t="str">
        <x:f>IF(AND(B32&lt;&gt;"",V32&lt;&gt;""),V32-B32,"")</x:f>
      </x:c>
      <x:c r="X32"/>
      <x:c r="Y32" t="str">
        <x:v>Terrestre</x:v>
      </x:c>
      <x:c r="Z32"/>
      <x:c r="AA32"/>
      <x:c r="AB32" s="11"/>
      <x:c r="AC32" s="11"/>
      <x:c r="AD32" s="24" t="str">
        <x:f>IF(AND(AB32&lt;&gt;"",AC32&lt;&gt;""),AC32-AB32,"")</x:f>
      </x:c>
      <x:c r="AE32" s="10"/>
      <x:c r="AF32"/>
      <x:c r="AG32"/>
      <x:c r="AH32" s="25" t="str">
        <x:f>IF(AND(B32&lt;&gt;"",AG32&lt;&gt;""),B32+AG32,"")</x:f>
      </x:c>
      <x:c r="AI32" t="str">
        <x:v>No aplica</x:v>
      </x:c>
      <x:c r="AJ32"/>
      <x:c r="AK32" t="str">
        <x:v>Recibido</x:v>
      </x:c>
      <x:c r="AL32" t="str">
        <x:v>Completo</x:v>
      </x:c>
      <x:c r="AM32"/>
      <x:c r="AN32" t="str">
        <x:v>Logística</x:v>
      </x:c>
      <x:c r="AO32" s="10" t="str">
        <x:v>26 24 1686 6027768</x:v>
      </x:c>
      <x:c r="AP32" s="10" t="str">
        <x:v>PG45473/26</x:v>
      </x:c>
      <x:c r="AQ32"/>
      <x:c r="AR32" s="13"/>
      <x:c r="AS32" s="26" t="n">
        <x:f>IF(R32&lt;&gt;"",MAX(0,R32-AR32),"")</x:f>
        <x:v>832415.35</x:v>
      </x:c>
      <x:c r="AT32" s="13" t="n">
        <x:v>43560.2</x:v>
      </x:c>
      <x:c r="AU32" s="13"/>
      <x:c r="AV32" s="13"/>
      <x:c r="AW32" s="13"/>
      <x:c r="AX32" s="13"/>
      <x:c r="AY32" s="26" t="n">
        <x:f>IF(R32&lt;&gt;"",R32+AT32,"")</x:f>
        <x:v>875975.5499999999</x:v>
      </x:c>
      <x:c r="AZ32" s="27" t="n">
        <x:f>IF(Q32&gt;0,AY32/Q32,"")</x:f>
        <x:v>46.95409251715265</x:v>
      </x:c>
      <x:c r="BA32" s="13" t="n">
        <x:v>45</x:v>
      </x:c>
      <x:c r="BB32" s="26" t="n">
        <x:f>IF(AND(BA32&lt;&gt;"",Q32&gt;0),BA32*Q32,"")</x:f>
        <x:v>839520</x:v>
      </x:c>
      <x:c r="BC32" s="26" t="n">
        <x:f>IF(AND(BB32&lt;&gt;"",AY32&lt;&gt;""),BB32-AY32,"")</x:f>
        <x:v>-36455.54999999993</x:v>
      </x:c>
      <x:c r="BD32" s="26" t="n">
        <x:f>IF(AND(BA32&lt;&gt;"",AZ32&lt;&gt;""),BA32-AZ32,"")</x:f>
        <x:v>-1.9540925171526524</x:v>
      </x:c>
      <x:c r="BE32" s="28" t="n">
        <x:f>IF(BB32&gt;0,BC32/BB32,"")</x:f>
        <x:v>-0.043424278158947886</x:v>
      </x:c>
      <x:c r="BF32" s="12"/>
      <x:c r="BG32" s="12"/>
      <x:c r="BH32"/>
      <x:c r="BI32" s="12"/>
      <x:c r="BJ32" s="12"/>
      <x:c r="BK32" s="28" t="n">
        <x:f>COUNTA(B32,G32,H32,I32,K32,M32,N32,Q32,R32,Y32,AE32,AF32,AI32,AK32)/14</x:f>
        <x:v>0.8571428571428571</x:v>
      </x:c>
      <x:c r="BL32" s="24" t="str">
        <x:f>IF(M32="","Falta país",IF(AE32="","Falta fracción",IF(AF32="","Falta Incoterm",IF(W32="","Falta tránsito",IF(X32="","Falta naviera",IF(AND(M32="Estados Unidos",AI32=""),"Falta inspección EE. UU.","Completo"))))))</x:f>
        <x:v>Falta fracción</x:v>
      </x:c>
      <x:c r="BM32" t="str">
        <x:v>001 Matriz</x:v>
      </x:c>
      <x:c r="BN32" t="str">
        <x:v>Porcino</x:v>
      </x:c>
      <x:c r="BO32" t="str">
        <x:v>Combo</x:v>
      </x:c>
      <x:c r="BP32"/>
      <x:c r="BQ32" s="12" t="n">
        <x:v>18656</x:v>
      </x:c>
      <x:c r="BR32" t="str">
        <x:v>Kilogramos</x:v>
      </x:c>
      <x:c r="BS32" s="12" t="n">
        <x:v>1</x:v>
      </x:c>
      <x:c r="BT32" s="13" t="n">
        <x:v>44.62</x:v>
      </x:c>
      <x:c r="BU32" s="13" t="n">
        <x:v>832415.35</x:v>
      </x:c>
    </x:row>
    <x:row r="33">
      <x:c r="A33" s="10" t="str">
        <x:v>LOG-202607-0032</x:v>
      </x:c>
      <x:c r="B33" s="11" t="n">
        <x:v>46218</x:v>
      </x:c>
      <x:c r="C33" s="24" t="n">
        <x:f>YEAR(B33)</x:f>
        <x:v>2026</x:v>
      </x:c>
      <x:c r="D33" s="24" t="str">
        <x:f>TEXT(B33,"yyyy-mm")</x:f>
        <x:v>2026-07</x:v>
      </x:c>
      <x:c r="E33" s="24" t="n">
        <x:f>WEEKNUM(B33,2)</x:f>
        <x:v>29</x:v>
      </x:c>
      <x:c r="F33" s="10" t="str">
        <x:v>ORIG-941</x:v>
      </x:c>
      <x:c r="G33" s="10" t="str">
        <x:v>6168</x:v>
      </x:c>
      <x:c r="H33" s="10" t="str">
        <x:v>9175</x:v>
      </x:c>
      <x:c r="I33" t="str">
        <x:v>Corbata A/Regular (Cj)</x:v>
      </x:c>
      <x:c r="J33" t="str">
        <x:v>Cerdo congelado</x:v>
      </x:c>
      <x:c r="K33" t="str">
        <x:v>003 Granja Calle 7</x:v>
      </x:c>
      <x:c r="L33" t="str">
        <x:v>Internacional</x:v>
      </x:c>
      <x:c r="M33" t="str">
        <x:v>Estados Unidos</x:v>
      </x:c>
      <x:c r="N33" t="str">
        <x:v>AJC INTERNATIONAL</x:v>
      </x:c>
      <x:c r="O33" s="10" t="str">
        <x:v>3287339</x:v>
      </x:c>
      <x:c r="P33" s="10" t="str">
        <x:v>5421</x:v>
      </x:c>
      <x:c r="Q33" s="12" t="n">
        <x:v>18370.68</x:v>
      </x:c>
      <x:c r="R33" s="13" t="n">
        <x:v>1115204.89</x:v>
      </x:c>
      <x:c r="S33" t="str">
        <x:v>MXN</x:v>
      </x:c>
      <x:c r="T33" s="12" t="n">
        <x:v>1</x:v>
      </x:c>
      <x:c r="U33" s="11"/>
      <x:c r="V33" s="11"/>
      <x:c r="W33" s="24" t="str">
        <x:f>IF(AND(B33&lt;&gt;"",V33&lt;&gt;""),V33-B33,"")</x:f>
      </x:c>
      <x:c r="X33"/>
      <x:c r="Y33" t="str">
        <x:v>Terrestre</x:v>
      </x:c>
      <x:c r="Z33"/>
      <x:c r="AA33"/>
      <x:c r="AB33" s="11"/>
      <x:c r="AC33" s="11"/>
      <x:c r="AD33" s="24" t="str">
        <x:f>IF(AND(AB33&lt;&gt;"",AC33&lt;&gt;""),AC33-AB33,"")</x:f>
      </x:c>
      <x:c r="AE33" s="10"/>
      <x:c r="AF33"/>
      <x:c r="AG33"/>
      <x:c r="AH33" s="25" t="str">
        <x:f>IF(AND(B33&lt;&gt;"",AG33&lt;&gt;""),B33+AG33,"")</x:f>
      </x:c>
      <x:c r="AI33"/>
      <x:c r="AJ33"/>
      <x:c r="AK33" t="str">
        <x:v>Recibido</x:v>
      </x:c>
      <x:c r="AL33" t="str">
        <x:v>Completo</x:v>
      </x:c>
      <x:c r="AM33"/>
      <x:c r="AN33" t="str">
        <x:v>Logística</x:v>
      </x:c>
      <x:c r="AO33" s="10" t="str">
        <x:v>26 24 1686 6027471</x:v>
      </x:c>
      <x:c r="AP33" s="10" t="str">
        <x:v>PG44874/26</x:v>
      </x:c>
      <x:c r="AQ33"/>
      <x:c r="AR33" s="13"/>
      <x:c r="AS33" s="26" t="n">
        <x:f>IF(R33&lt;&gt;"",MAX(0,R33-AR33),"")</x:f>
        <x:v>1115204.89</x:v>
      </x:c>
      <x:c r="AT33" s="13" t="n">
        <x:v>40610.2</x:v>
      </x:c>
      <x:c r="AU33" s="13"/>
      <x:c r="AV33" s="13"/>
      <x:c r="AW33" s="13"/>
      <x:c r="AX33" s="13"/>
      <x:c r="AY33" s="26" t="n">
        <x:f>IF(R33&lt;&gt;"",R33+AT33,"")</x:f>
        <x:v>1155815.0899999999</x:v>
      </x:c>
      <x:c r="AZ33" s="27" t="n">
        <x:f>IF(Q33&gt;0,AY33/Q33,"")</x:f>
        <x:v>62.916293245541254</x:v>
      </x:c>
      <x:c r="BA33" s="13" t="n">
        <x:v>67</x:v>
      </x:c>
      <x:c r="BB33" s="26" t="n">
        <x:f>IF(AND(BA33&lt;&gt;"",Q33&gt;0),BA33*Q33,"")</x:f>
        <x:v>1230835.56</x:v>
      </x:c>
      <x:c r="BC33" s="26" t="n">
        <x:f>IF(AND(BB33&lt;&gt;"",AY33&lt;&gt;""),BB33-AY33,"")</x:f>
        <x:v>75020.4700000002</x:v>
      </x:c>
      <x:c r="BD33" s="26" t="n">
        <x:f>IF(AND(BA33&lt;&gt;"",AZ33&lt;&gt;""),BA33-AZ33,"")</x:f>
        <x:v>4.0837067544587455</x:v>
      </x:c>
      <x:c r="BE33" s="28" t="n">
        <x:f>IF(BB33&gt;0,BC33/BB33,"")</x:f>
        <x:v>0.06095084708147382</x:v>
      </x:c>
      <x:c r="BF33" s="12"/>
      <x:c r="BG33" s="12"/>
      <x:c r="BH33"/>
      <x:c r="BI33" s="12"/>
      <x:c r="BJ33" s="12"/>
      <x:c r="BK33" s="28" t="n">
        <x:f>COUNTA(B33,G33,H33,I33,K33,M33,N33,Q33,R33,Y33,AE33,AF33,AI33,AK33)/14</x:f>
        <x:v>0.7857142857142857</x:v>
      </x:c>
      <x:c r="BL33" s="24" t="str">
        <x:f>IF(M33="","Falta país",IF(AE33="","Falta fracción",IF(AF33="","Falta Incoterm",IF(W33="","Falta tránsito",IF(X33="","Falta naviera",IF(AND(M33="Estados Unidos",AI33=""),"Falta inspección EE. UU.","Completo"))))))</x:f>
        <x:v>Falta fracción</x:v>
      </x:c>
      <x:c r="BM33" t="str">
        <x:v>001 Matriz</x:v>
      </x:c>
      <x:c r="BN33" t="str">
        <x:v>Porcino</x:v>
      </x:c>
      <x:c r="BO33" t="str">
        <x:v>Caja</x:v>
      </x:c>
      <x:c r="BP33"/>
      <x:c r="BQ33" s="12" t="n">
        <x:v>18370.68</x:v>
      </x:c>
      <x:c r="BR33" t="str">
        <x:v>Kilogramos</x:v>
      </x:c>
      <x:c r="BS33" s="12" t="n">
        <x:v>1</x:v>
      </x:c>
      <x:c r="BT33" s="13" t="n">
        <x:v>60.71</x:v>
      </x:c>
      <x:c r="BU33" s="13" t="n">
        <x:v>1115204.89</x:v>
      </x:c>
    </x:row>
    <x:row r="34">
      <x:c r="A34" s="10" t="str">
        <x:v>LOG-202607-0033</x:v>
      </x:c>
      <x:c r="B34" s="11" t="n">
        <x:v>46218</x:v>
      </x:c>
      <x:c r="C34" s="24" t="n">
        <x:f>YEAR(B34)</x:f>
        <x:v>2026</x:v>
      </x:c>
      <x:c r="D34" s="24" t="str">
        <x:f>TEXT(B34,"yyyy-mm")</x:f>
        <x:v>2026-07</x:v>
      </x:c>
      <x:c r="E34" s="24" t="n">
        <x:f>WEEKNUM(B34,2)</x:f>
        <x:v>29</x:v>
      </x:c>
      <x:c r="F34" s="10" t="str">
        <x:v>ORIG-944</x:v>
      </x:c>
      <x:c r="G34" s="10" t="str">
        <x:v>6170</x:v>
      </x:c>
      <x:c r="H34" s="10" t="str">
        <x:v>9265</x:v>
      </x:c>
      <x:c r="I34" t="str">
        <x:v>Picnic (Cb)</x:v>
      </x:c>
      <x:c r="J34" t="str">
        <x:v>Cerdo congelado</x:v>
      </x:c>
      <x:c r="K34" t="str">
        <x:v>003 Granja Calle 7</x:v>
      </x:c>
      <x:c r="L34" t="str">
        <x:v>Internacional</x:v>
      </x:c>
      <x:c r="M34" t="str">
        <x:v>Estados Unidos</x:v>
      </x:c>
      <x:c r="N34" t="str">
        <x:v>SWIFT PORK COMPANY</x:v>
      </x:c>
      <x:c r="O34" s="10" t="str">
        <x:v>9093615959</x:v>
      </x:c>
      <x:c r="P34" s="10" t="str">
        <x:v>5444</x:v>
      </x:c>
      <x:c r="Q34" s="12" t="n">
        <x:v>18690.92</x:v>
      </x:c>
      <x:c r="R34" s="13" t="n">
        <x:v>775580.32</x:v>
      </x:c>
      <x:c r="S34" t="str">
        <x:v>MXN</x:v>
      </x:c>
      <x:c r="T34" s="12" t="n">
        <x:v>1</x:v>
      </x:c>
      <x:c r="U34" s="11"/>
      <x:c r="V34" s="11"/>
      <x:c r="W34" s="24" t="str">
        <x:f>IF(AND(B34&lt;&gt;"",V34&lt;&gt;""),V34-B34,"")</x:f>
      </x:c>
      <x:c r="X34"/>
      <x:c r="Y34" t="str">
        <x:v>Terrestre</x:v>
      </x:c>
      <x:c r="Z34"/>
      <x:c r="AA34"/>
      <x:c r="AB34" s="11"/>
      <x:c r="AC34" s="11"/>
      <x:c r="AD34" s="24" t="str">
        <x:f>IF(AND(AB34&lt;&gt;"",AC34&lt;&gt;""),AC34-AB34,"")</x:f>
      </x:c>
      <x:c r="AE34" s="10"/>
      <x:c r="AF34"/>
      <x:c r="AG34"/>
      <x:c r="AH34" s="25" t="str">
        <x:f>IF(AND(B34&lt;&gt;"",AG34&lt;&gt;""),B34+AG34,"")</x:f>
      </x:c>
      <x:c r="AI34"/>
      <x:c r="AJ34"/>
      <x:c r="AK34" t="str">
        <x:v>Recibido</x:v>
      </x:c>
      <x:c r="AL34" t="str">
        <x:v>Completo</x:v>
      </x:c>
      <x:c r="AM34"/>
      <x:c r="AN34" t="str">
        <x:v>Logística</x:v>
      </x:c>
      <x:c r="AO34" s="10" t="str">
        <x:v>26 24 1686 6027542</x:v>
      </x:c>
      <x:c r="AP34" s="10" t="str">
        <x:v>PG45156/26</x:v>
      </x:c>
      <x:c r="AQ34"/>
      <x:c r="AR34" s="13"/>
      <x:c r="AS34" s="26" t="n">
        <x:f>IF(R34&lt;&gt;"",MAX(0,R34-AR34),"")</x:f>
        <x:v>775580.32</x:v>
      </x:c>
      <x:c r="AT34" s="13" t="n">
        <x:v>42288.2</x:v>
      </x:c>
      <x:c r="AU34" s="13"/>
      <x:c r="AV34" s="13"/>
      <x:c r="AW34" s="13"/>
      <x:c r="AX34" s="13"/>
      <x:c r="AY34" s="26" t="n">
        <x:f>IF(R34&lt;&gt;"",R34+AT34,"")</x:f>
        <x:v>817868.5199999999</x:v>
      </x:c>
      <x:c r="AZ34" s="27" t="n">
        <x:f>IF(Q34&gt;0,AY34/Q34,"")</x:f>
        <x:v>43.7575314644758</x:v>
      </x:c>
      <x:c r="BA34" s="13" t="n">
        <x:v>56</x:v>
      </x:c>
      <x:c r="BB34" s="26" t="n">
        <x:f>IF(AND(BA34&lt;&gt;"",Q34&gt;0),BA34*Q34,"")</x:f>
        <x:v>1046691.5199999999</x:v>
      </x:c>
      <x:c r="BC34" s="26" t="n">
        <x:f>IF(AND(BB34&lt;&gt;"",AY34&lt;&gt;""),BB34-AY34,"")</x:f>
        <x:v>228823</x:v>
      </x:c>
      <x:c r="BD34" s="26" t="n">
        <x:f>IF(AND(BA34&lt;&gt;"",AZ34&lt;&gt;""),BA34-AZ34,"")</x:f>
        <x:v>12.242468535524203</x:v>
      </x:c>
      <x:c r="BE34" s="28" t="n">
        <x:f>IF(BB34&gt;0,BC34/BB34,"")</x:f>
        <x:v>0.2186155095629322</x:v>
      </x:c>
      <x:c r="BF34" s="12"/>
      <x:c r="BG34" s="12"/>
      <x:c r="BH34"/>
      <x:c r="BI34" s="12"/>
      <x:c r="BJ34" s="12"/>
      <x:c r="BK34" s="28" t="n">
        <x:f>COUNTA(B34,G34,H34,I34,K34,M34,N34,Q34,R34,Y34,AE34,AF34,AI34,AK34)/14</x:f>
        <x:v>0.7857142857142857</x:v>
      </x:c>
      <x:c r="BL34" s="24" t="str">
        <x:f>IF(M34="","Falta país",IF(AE34="","Falta fracción",IF(AF34="","Falta Incoterm",IF(W34="","Falta tránsito",IF(X34="","Falta naviera",IF(AND(M34="Estados Unidos",AI34=""),"Falta inspección EE. UU.","Completo"))))))</x:f>
        <x:v>Falta fracción</x:v>
      </x:c>
      <x:c r="BM34" t="str">
        <x:v>001 Matriz</x:v>
      </x:c>
      <x:c r="BN34" t="str">
        <x:v>Porcino</x:v>
      </x:c>
      <x:c r="BO34" t="str">
        <x:v>Combo</x:v>
      </x:c>
      <x:c r="BP34"/>
      <x:c r="BQ34" s="12" t="n">
        <x:v>18690.92</x:v>
      </x:c>
      <x:c r="BR34" t="str">
        <x:v>Kilogramos</x:v>
      </x:c>
      <x:c r="BS34" s="12" t="n">
        <x:v>1</x:v>
      </x:c>
      <x:c r="BT34" s="13" t="n">
        <x:v>41.5</x:v>
      </x:c>
      <x:c r="BU34" s="13" t="n">
        <x:v>775580.32</x:v>
      </x:c>
    </x:row>
    <x:row r="35">
      <x:c r="A35" s="10" t="str">
        <x:v>LOG-202607-0034</x:v>
      </x:c>
      <x:c r="B35" s="11" t="n">
        <x:v>46218</x:v>
      </x:c>
      <x:c r="C35" s="24" t="n">
        <x:f>YEAR(B35)</x:f>
        <x:v>2026</x:v>
      </x:c>
      <x:c r="D35" s="24" t="str">
        <x:f>TEXT(B35,"yyyy-mm")</x:f>
        <x:v>2026-07</x:v>
      </x:c>
      <x:c r="E35" s="24" t="n">
        <x:f>WEEKNUM(B35,2)</x:f>
        <x:v>29</x:v>
      </x:c>
      <x:c r="F35" s="10" t="str">
        <x:v>ORIG-946</x:v>
      </x:c>
      <x:c r="G35" s="10" t="str">
        <x:v>6167</x:v>
      </x:c>
      <x:c r="H35" s="10" t="str">
        <x:v>9176</x:v>
      </x:c>
      <x:c r="I35" t="str">
        <x:v>Corbata A/Vacío (Cj)</x:v>
      </x:c>
      <x:c r="J35" t="str">
        <x:v>Cerdo congelado</x:v>
      </x:c>
      <x:c r="K35" t="str">
        <x:v>003 Granja Calle 7</x:v>
      </x:c>
      <x:c r="L35" t="str">
        <x:v>Internacional</x:v>
      </x:c>
      <x:c r="M35" t="str">
        <x:v>Estados Unidos</x:v>
      </x:c>
      <x:c r="N35" t="str">
        <x:v>G &amp; C FOOD DISTRIBUTORS &amp; BROKERS INC</x:v>
      </x:c>
      <x:c r="O35" s="10" t="str">
        <x:v>572562</x:v>
      </x:c>
      <x:c r="P35" s="10" t="str">
        <x:v>5361</x:v>
      </x:c>
      <x:c r="Q35" s="12" t="n">
        <x:v>17887.24</x:v>
      </x:c>
      <x:c r="R35" s="13" t="n">
        <x:v>1161454.8</x:v>
      </x:c>
      <x:c r="S35" t="str">
        <x:v>MXN</x:v>
      </x:c>
      <x:c r="T35" s="12" t="n">
        <x:v>1</x:v>
      </x:c>
      <x:c r="U35" s="11"/>
      <x:c r="V35" s="11"/>
      <x:c r="W35" s="24" t="str">
        <x:f>IF(AND(B35&lt;&gt;"",V35&lt;&gt;""),V35-B35,"")</x:f>
      </x:c>
      <x:c r="X35"/>
      <x:c r="Y35" t="str">
        <x:v>Terrestre</x:v>
      </x:c>
      <x:c r="Z35"/>
      <x:c r="AA35"/>
      <x:c r="AB35" s="11"/>
      <x:c r="AC35" s="11"/>
      <x:c r="AD35" s="24" t="str">
        <x:f>IF(AND(AB35&lt;&gt;"",AC35&lt;&gt;""),AC35-AB35,"")</x:f>
      </x:c>
      <x:c r="AE35" s="10"/>
      <x:c r="AF35"/>
      <x:c r="AG35"/>
      <x:c r="AH35" s="25" t="str">
        <x:f>IF(AND(B35&lt;&gt;"",AG35&lt;&gt;""),B35+AG35,"")</x:f>
      </x:c>
      <x:c r="AI35"/>
      <x:c r="AJ35"/>
      <x:c r="AK35" t="str">
        <x:v>Recibido</x:v>
      </x:c>
      <x:c r="AL35" t="str">
        <x:v>Completo</x:v>
      </x:c>
      <x:c r="AM35"/>
      <x:c r="AN35" t="str">
        <x:v>Logística</x:v>
      </x:c>
      <x:c r="AO35" s="10" t="str">
        <x:v>26 24 1686 6027179</x:v>
      </x:c>
      <x:c r="AP35" s="10" t="str">
        <x:v>PG44631/26</x:v>
      </x:c>
      <x:c r="AQ35"/>
      <x:c r="AR35" s="13"/>
      <x:c r="AS35" s="26" t="n">
        <x:f>IF(R35&lt;&gt;"",MAX(0,R35-AR35),"")</x:f>
        <x:v>1161454.8</x:v>
      </x:c>
      <x:c r="AT35" s="13" t="n">
        <x:v>41730.2</x:v>
      </x:c>
      <x:c r="AU35" s="13"/>
      <x:c r="AV35" s="13"/>
      <x:c r="AW35" s="13"/>
      <x:c r="AX35" s="13"/>
      <x:c r="AY35" s="26" t="n">
        <x:f>IF(R35&lt;&gt;"",R35+AT35,"")</x:f>
        <x:v>1203185</x:v>
      </x:c>
      <x:c r="AZ35" s="27" t="n">
        <x:f>IF(Q35&gt;0,AY35/Q35,"")</x:f>
        <x:v>67.26498889711324</x:v>
      </x:c>
      <x:c r="BA35" s="13" t="n">
        <x:v>77</x:v>
      </x:c>
      <x:c r="BB35" s="26" t="n">
        <x:f>IF(AND(BA35&lt;&gt;"",Q35&gt;0),BA35*Q35,"")</x:f>
        <x:v>1377317.4800000002</x:v>
      </x:c>
      <x:c r="BC35" s="26" t="n">
        <x:f>IF(AND(BB35&lt;&gt;"",AY35&lt;&gt;""),BB35-AY35,"")</x:f>
        <x:v>174132.4800000002</x:v>
      </x:c>
      <x:c r="BD35" s="26" t="n">
        <x:f>IF(AND(BA35&lt;&gt;"",AZ35&lt;&gt;""),BA35-AZ35,"")</x:f>
        <x:v>9.735011102886759</x:v>
      </x:c>
      <x:c r="BE35" s="28" t="n">
        <x:f>IF(BB35&gt;0,BC35/BB35,"")</x:f>
        <x:v>0.126428715621906</x:v>
      </x:c>
      <x:c r="BF35" s="12"/>
      <x:c r="BG35" s="12"/>
      <x:c r="BH35"/>
      <x:c r="BI35" s="12"/>
      <x:c r="BJ35" s="12"/>
      <x:c r="BK35" s="28" t="n">
        <x:f>COUNTA(B35,G35,H35,I35,K35,M35,N35,Q35,R35,Y35,AE35,AF35,AI35,AK35)/14</x:f>
        <x:v>0.7857142857142857</x:v>
      </x:c>
      <x:c r="BL35" s="24" t="str">
        <x:f>IF(M35="","Falta país",IF(AE35="","Falta fracción",IF(AF35="","Falta Incoterm",IF(W35="","Falta tránsito",IF(X35="","Falta naviera",IF(AND(M35="Estados Unidos",AI35=""),"Falta inspección EE. UU.","Completo"))))))</x:f>
        <x:v>Falta fracción</x:v>
      </x:c>
      <x:c r="BM35" t="str">
        <x:v>001 Matriz</x:v>
      </x:c>
      <x:c r="BN35" t="str">
        <x:v>Porcino</x:v>
      </x:c>
      <x:c r="BO35" t="str">
        <x:v>Caja</x:v>
      </x:c>
      <x:c r="BP35"/>
      <x:c r="BQ35" s="12" t="n">
        <x:v>17887.24</x:v>
      </x:c>
      <x:c r="BR35" t="str">
        <x:v>Kilogramos</x:v>
      </x:c>
      <x:c r="BS35" s="12" t="n">
        <x:v>1</x:v>
      </x:c>
      <x:c r="BT35" s="13" t="n">
        <x:v>64.93</x:v>
      </x:c>
      <x:c r="BU35" s="13" t="n">
        <x:v>1161454.8</x:v>
      </x:c>
    </x:row>
    <x:row r="36">
      <x:c r="A36" s="10" t="str">
        <x:v>LOG-202607-0035</x:v>
      </x:c>
      <x:c r="B36" s="11" t="n">
        <x:v>46217</x:v>
      </x:c>
      <x:c r="C36" s="24" t="n">
        <x:f>YEAR(B36)</x:f>
        <x:v>2026</x:v>
      </x:c>
      <x:c r="D36" s="24" t="str">
        <x:f>TEXT(B36,"yyyy-mm")</x:f>
        <x:v>2026-07</x:v>
      </x:c>
      <x:c r="E36" s="24" t="n">
        <x:f>WEEKNUM(B36,2)</x:f>
        <x:v>29</x:v>
      </x:c>
      <x:c r="F36" s="10" t="str">
        <x:v>ORIG-1018</x:v>
      </x:c>
      <x:c r="G36" s="10" t="str">
        <x:v>6171</x:v>
      </x:c>
      <x:c r="H36" s="10" t="str">
        <x:v>9270</x:v>
      </x:c>
      <x:c r="I36" t="str">
        <x:v>Pierna de Cerdo (Cb)</x:v>
      </x:c>
      <x:c r="J36" t="str">
        <x:v>Cerdo congelado</x:v>
      </x:c>
      <x:c r="K36" t="str">
        <x:v>003 Granja Calle 7</x:v>
      </x:c>
      <x:c r="L36" t="str">
        <x:v>Internacional</x:v>
      </x:c>
      <x:c r="M36" t="str">
        <x:v>Canadá</x:v>
      </x:c>
      <x:c r="N36" t="str">
        <x:v>CANADA PACKERS INC</x:v>
      </x:c>
      <x:c r="O36" s="10" t="str">
        <x:v>9601931248</x:v>
      </x:c>
      <x:c r="P36" s="10" t="str">
        <x:v>5367</x:v>
      </x:c>
      <x:c r="Q36" s="12" t="n">
        <x:v>18742.21</x:v>
      </x:c>
      <x:c r="R36" s="13" t="n">
        <x:v>835271.49</x:v>
      </x:c>
      <x:c r="S36" t="str">
        <x:v>MXN</x:v>
      </x:c>
      <x:c r="T36" s="12" t="n">
        <x:v>1</x:v>
      </x:c>
      <x:c r="U36" s="11"/>
      <x:c r="V36" s="11"/>
      <x:c r="W36" s="24" t="str">
        <x:f>IF(AND(B36&lt;&gt;"",V36&lt;&gt;""),V36-B36,"")</x:f>
      </x:c>
      <x:c r="X36"/>
      <x:c r="Y36" t="str">
        <x:v>Terrestre</x:v>
      </x:c>
      <x:c r="Z36"/>
      <x:c r="AA36"/>
      <x:c r="AB36" s="11"/>
      <x:c r="AC36" s="11"/>
      <x:c r="AD36" s="24" t="str">
        <x:f>IF(AND(AB36&lt;&gt;"",AC36&lt;&gt;""),AC36-AB36,"")</x:f>
      </x:c>
      <x:c r="AE36" s="10"/>
      <x:c r="AF36"/>
      <x:c r="AG36"/>
      <x:c r="AH36" s="25" t="str">
        <x:f>IF(AND(B36&lt;&gt;"",AG36&lt;&gt;""),B36+AG36,"")</x:f>
      </x:c>
      <x:c r="AI36" t="str">
        <x:v>No aplica</x:v>
      </x:c>
      <x:c r="AJ36"/>
      <x:c r="AK36" t="str">
        <x:v>Recibido</x:v>
      </x:c>
      <x:c r="AL36" t="str">
        <x:v>Completo</x:v>
      </x:c>
      <x:c r="AM36"/>
      <x:c r="AN36" t="str">
        <x:v>Logística</x:v>
      </x:c>
      <x:c r="AO36" s="10" t="str">
        <x:v>26 24 1686 6027556</x:v>
      </x:c>
      <x:c r="AP36" s="10" t="str">
        <x:v>PG45189/26</x:v>
      </x:c>
      <x:c r="AQ36"/>
      <x:c r="AR36" s="13"/>
      <x:c r="AS36" s="26" t="n">
        <x:f>IF(R36&lt;&gt;"",MAX(0,R36-AR36),"")</x:f>
        <x:v>835271.49</x:v>
      </x:c>
      <x:c r="AT36" s="13" t="n">
        <x:v>40610.2</x:v>
      </x:c>
      <x:c r="AU36" s="13"/>
      <x:c r="AV36" s="13"/>
      <x:c r="AW36" s="13"/>
      <x:c r="AX36" s="13"/>
      <x:c r="AY36" s="26" t="n">
        <x:f>IF(R36&lt;&gt;"",R36+AT36,"")</x:f>
        <x:v>875881.69</x:v>
      </x:c>
      <x:c r="AZ36" s="27" t="n">
        <x:f>IF(Q36&gt;0,AY36/Q36,"")</x:f>
        <x:v>46.733106181181405</x:v>
      </x:c>
      <x:c r="BA36" s="13" t="n">
        <x:v>45</x:v>
      </x:c>
      <x:c r="BB36" s="26" t="n">
        <x:f>IF(AND(BA36&lt;&gt;"",Q36&gt;0),BA36*Q36,"")</x:f>
        <x:v>843399.45</x:v>
      </x:c>
      <x:c r="BC36" s="26" t="n">
        <x:f>IF(AND(BB36&lt;&gt;"",AY36&lt;&gt;""),BB36-AY36,"")</x:f>
        <x:v>-32482.23999999999</x:v>
      </x:c>
      <x:c r="BD36" s="26" t="n">
        <x:f>IF(AND(BA36&lt;&gt;"",AZ36&lt;&gt;""),BA36-AZ36,"")</x:f>
        <x:v>-1.7331061811814052</x:v>
      </x:c>
      <x:c r="BE36" s="28" t="n">
        <x:f>IF(BB36&gt;0,BC36/BB36,"")</x:f>
        <x:v>-0.038513470692920174</x:v>
      </x:c>
      <x:c r="BF36" s="12"/>
      <x:c r="BG36" s="12"/>
      <x:c r="BH36"/>
      <x:c r="BI36" s="12"/>
      <x:c r="BJ36" s="12"/>
      <x:c r="BK36" s="28" t="n">
        <x:f>COUNTA(B36,G36,H36,I36,K36,M36,N36,Q36,R36,Y36,AE36,AF36,AI36,AK36)/14</x:f>
        <x:v>0.8571428571428571</x:v>
      </x:c>
      <x:c r="BL36" s="24" t="str">
        <x:f>IF(M36="","Falta país",IF(AE36="","Falta fracción",IF(AF36="","Falta Incoterm",IF(W36="","Falta tránsito",IF(X36="","Falta naviera",IF(AND(M36="Estados Unidos",AI36=""),"Falta inspección EE. UU.","Completo"))))))</x:f>
        <x:v>Falta fracción</x:v>
      </x:c>
      <x:c r="BM36" t="str">
        <x:v>001 Matriz</x:v>
      </x:c>
      <x:c r="BN36" t="str">
        <x:v>Porcino</x:v>
      </x:c>
      <x:c r="BO36" t="str">
        <x:v>Combo</x:v>
      </x:c>
      <x:c r="BP36"/>
      <x:c r="BQ36" s="12" t="n">
        <x:v>18742.21</x:v>
      </x:c>
      <x:c r="BR36" t="str">
        <x:v>Kilogramos</x:v>
      </x:c>
      <x:c r="BS36" s="12" t="n">
        <x:v>1</x:v>
      </x:c>
      <x:c r="BT36" s="13" t="n">
        <x:v>44.57</x:v>
      </x:c>
      <x:c r="BU36" s="13" t="n">
        <x:v>835271.49</x:v>
      </x:c>
    </x:row>
    <x:row r="37">
      <x:c r="A37" s="10" t="str">
        <x:v>LOG-202607-0036</x:v>
      </x:c>
      <x:c r="B37" s="11" t="n">
        <x:v>46216</x:v>
      </x:c>
      <x:c r="C37" s="24" t="n">
        <x:f>YEAR(B37)</x:f>
        <x:v>2026</x:v>
      </x:c>
      <x:c r="D37" s="24" t="str">
        <x:f>TEXT(B37,"yyyy-mm")</x:f>
        <x:v>2026-07</x:v>
      </x:c>
      <x:c r="E37" s="24" t="n">
        <x:f>WEEKNUM(B37,2)</x:f>
        <x:v>29</x:v>
      </x:c>
      <x:c r="F37" s="10" t="str">
        <x:v>ORIG-1063</x:v>
      </x:c>
      <x:c r="G37" s="10" t="str">
        <x:v>6163</x:v>
      </x:c>
      <x:c r="H37" s="10" t="str">
        <x:v>9183</x:v>
      </x:c>
      <x:c r="I37" t="str">
        <x:v>Cuero Belly (Cb)</x:v>
      </x:c>
      <x:c r="J37" t="str">
        <x:v>Cerdo congelado</x:v>
      </x:c>
      <x:c r="K37" t="str">
        <x:v>003 Granja Calle 7</x:v>
      </x:c>
      <x:c r="L37" t="str">
        <x:v>Internacional</x:v>
      </x:c>
      <x:c r="M37" t="str">
        <x:v>Estados Unidos</x:v>
      </x:c>
      <x:c r="N37" t="str">
        <x:v>ISA FOODS INC</x:v>
      </x:c>
      <x:c r="O37" s="10" t="str">
        <x:v>19870</x:v>
      </x:c>
      <x:c r="P37" s="10" t="str">
        <x:v>5427</x:v>
      </x:c>
      <x:c r="Q37" s="12" t="n">
        <x:v>17695.73</x:v>
      </x:c>
      <x:c r="R37" s="13" t="n">
        <x:v>586600.5</x:v>
      </x:c>
      <x:c r="S37" t="str">
        <x:v>MXN</x:v>
      </x:c>
      <x:c r="T37" s="12" t="n">
        <x:v>1</x:v>
      </x:c>
      <x:c r="U37" s="11"/>
      <x:c r="V37" s="11"/>
      <x:c r="W37" s="24" t="str">
        <x:f>IF(AND(B37&lt;&gt;"",V37&lt;&gt;""),V37-B37,"")</x:f>
      </x:c>
      <x:c r="X37"/>
      <x:c r="Y37" t="str">
        <x:v>Terrestre</x:v>
      </x:c>
      <x:c r="Z37"/>
      <x:c r="AA37"/>
      <x:c r="AB37" s="11"/>
      <x:c r="AC37" s="11"/>
      <x:c r="AD37" s="24" t="str">
        <x:f>IF(AND(AB37&lt;&gt;"",AC37&lt;&gt;""),AC37-AB37,"")</x:f>
      </x:c>
      <x:c r="AE37" s="10"/>
      <x:c r="AF37"/>
      <x:c r="AG37"/>
      <x:c r="AH37" s="25" t="str">
        <x:f>IF(AND(B37&lt;&gt;"",AG37&lt;&gt;""),B37+AG37,"")</x:f>
      </x:c>
      <x:c r="AI37"/>
      <x:c r="AJ37"/>
      <x:c r="AK37" t="str">
        <x:v>Recibido</x:v>
      </x:c>
      <x:c r="AL37" t="str">
        <x:v>Completo</x:v>
      </x:c>
      <x:c r="AM37"/>
      <x:c r="AN37" t="str">
        <x:v>Logística</x:v>
      </x:c>
      <x:c r="AO37" s="10" t="str">
        <x:v>26 24 1686 6026894</x:v>
      </x:c>
      <x:c r="AP37" s="10" t="str">
        <x:v>PG43794/26</x:v>
      </x:c>
      <x:c r="AQ37"/>
      <x:c r="AR37" s="13"/>
      <x:c r="AS37" s="26" t="n">
        <x:f>IF(R37&lt;&gt;"",MAX(0,R37-AR37),"")</x:f>
        <x:v>586600.5</x:v>
      </x:c>
      <x:c r="AT37" s="13" t="n">
        <x:v>41730.2</x:v>
      </x:c>
      <x:c r="AU37" s="13"/>
      <x:c r="AV37" s="13"/>
      <x:c r="AW37" s="13"/>
      <x:c r="AX37" s="13"/>
      <x:c r="AY37" s="26" t="n">
        <x:f>IF(R37&lt;&gt;"",R37+AT37,"")</x:f>
        <x:v>628330.7</x:v>
      </x:c>
      <x:c r="AZ37" s="27" t="n">
        <x:f>IF(Q37&gt;0,AY37/Q37,"")</x:f>
        <x:v>35.50747553223292</x:v>
      </x:c>
      <x:c r="BA37" s="13" t="n">
        <x:v>30.5</x:v>
      </x:c>
      <x:c r="BB37" s="26" t="n">
        <x:f>IF(AND(BA37&lt;&gt;"",Q37&gt;0),BA37*Q37,"")</x:f>
        <x:v>539719.765</x:v>
      </x:c>
      <x:c r="BC37" s="26" t="n">
        <x:f>IF(AND(BB37&lt;&gt;"",AY37&lt;&gt;""),BB37-AY37,"")</x:f>
        <x:v>-88610.93499999994</x:v>
      </x:c>
      <x:c r="BD37" s="26" t="n">
        <x:f>IF(AND(BA37&lt;&gt;"",AZ37&lt;&gt;""),BA37-AZ37,"")</x:f>
        <x:v>-5.007475532232917</x:v>
      </x:c>
      <x:c r="BE37" s="28" t="n">
        <x:f>IF(BB37&gt;0,BC37/BB37,"")</x:f>
        <x:v>-0.16417952564698077</x:v>
      </x:c>
      <x:c r="BF37" s="12"/>
      <x:c r="BG37" s="12"/>
      <x:c r="BH37"/>
      <x:c r="BI37" s="12"/>
      <x:c r="BJ37" s="12"/>
      <x:c r="BK37" s="28" t="n">
        <x:f>COUNTA(B37,G37,H37,I37,K37,M37,N37,Q37,R37,Y37,AE37,AF37,AI37,AK37)/14</x:f>
        <x:v>0.7857142857142857</x:v>
      </x:c>
      <x:c r="BL37" s="24" t="str">
        <x:f>IF(M37="","Falta país",IF(AE37="","Falta fracción",IF(AF37="","Falta Incoterm",IF(W37="","Falta tránsito",IF(X37="","Falta naviera",IF(AND(M37="Estados Unidos",AI37=""),"Falta inspección EE. UU.","Completo"))))))</x:f>
        <x:v>Falta fracción</x:v>
      </x:c>
      <x:c r="BM37" t="str">
        <x:v>001 Matriz</x:v>
      </x:c>
      <x:c r="BN37" t="str">
        <x:v>Porcino</x:v>
      </x:c>
      <x:c r="BO37" t="str">
        <x:v>Combo</x:v>
      </x:c>
      <x:c r="BP37"/>
      <x:c r="BQ37" s="12" t="n">
        <x:v>17695.73</x:v>
      </x:c>
      <x:c r="BR37" t="str">
        <x:v>Kilogramos</x:v>
      </x:c>
      <x:c r="BS37" s="12" t="n">
        <x:v>1</x:v>
      </x:c>
      <x:c r="BT37" s="13" t="n">
        <x:v>33.15</x:v>
      </x:c>
      <x:c r="BU37" s="13" t="n">
        <x:v>586600.5</x:v>
      </x:c>
    </x:row>
    <x:row r="38">
      <x:c r="A38" s="10" t="str">
        <x:v>LOG-202607-0037</x:v>
      </x:c>
      <x:c r="B38" s="11" t="n">
        <x:v>46214</x:v>
      </x:c>
      <x:c r="C38" s="24" t="n">
        <x:f>YEAR(B38)</x:f>
        <x:v>2026</x:v>
      </x:c>
      <x:c r="D38" s="24" t="str">
        <x:f>TEXT(B38,"yyyy-mm")</x:f>
        <x:v>2026-07</x:v>
      </x:c>
      <x:c r="E38" s="24" t="n">
        <x:f>WEEKNUM(B38,2)</x:f>
        <x:v>28</x:v>
      </x:c>
      <x:c r="F38" s="10" t="str">
        <x:v>ORIG-1131</x:v>
      </x:c>
      <x:c r="G38" s="10" t="str">
        <x:v>6165</x:v>
      </x:c>
      <x:c r="H38" s="10" t="str">
        <x:v>9265</x:v>
      </x:c>
      <x:c r="I38" t="str">
        <x:v>Picnic (Cb)</x:v>
      </x:c>
      <x:c r="J38" t="str">
        <x:v>Cerdo congelado</x:v>
      </x:c>
      <x:c r="K38" t="str">
        <x:v>003 Granja Calle 7</x:v>
      </x:c>
      <x:c r="L38" t="str">
        <x:v>Internacional</x:v>
      </x:c>
      <x:c r="M38" t="str">
        <x:v>Estados Unidos</x:v>
      </x:c>
      <x:c r="N38" t="str">
        <x:v>SWIFT PORK COMPANY</x:v>
      </x:c>
      <x:c r="O38" s="10" t="str">
        <x:v>9093587633</x:v>
      </x:c>
      <x:c r="P38" s="10" t="str">
        <x:v>5443</x:v>
      </x:c>
      <x:c r="Q38" s="12" t="n">
        <x:v>18865.1</x:v>
      </x:c>
      <x:c r="R38" s="13" t="n">
        <x:v>787623.09</x:v>
      </x:c>
      <x:c r="S38" t="str">
        <x:v>MXN</x:v>
      </x:c>
      <x:c r="T38" s="12" t="n">
        <x:v>1</x:v>
      </x:c>
      <x:c r="U38" s="11"/>
      <x:c r="V38" s="11"/>
      <x:c r="W38" s="24" t="str">
        <x:f>IF(AND(B38&lt;&gt;"",V38&lt;&gt;""),V38-B38,"")</x:f>
      </x:c>
      <x:c r="X38"/>
      <x:c r="Y38" t="str">
        <x:v>Terrestre</x:v>
      </x:c>
      <x:c r="Z38"/>
      <x:c r="AA38"/>
      <x:c r="AB38" s="11"/>
      <x:c r="AC38" s="11"/>
      <x:c r="AD38" s="24" t="str">
        <x:f>IF(AND(AB38&lt;&gt;"",AC38&lt;&gt;""),AC38-AB38,"")</x:f>
      </x:c>
      <x:c r="AE38" s="10"/>
      <x:c r="AF38"/>
      <x:c r="AG38"/>
      <x:c r="AH38" s="25" t="str">
        <x:f>IF(AND(B38&lt;&gt;"",AG38&lt;&gt;""),B38+AG38,"")</x:f>
      </x:c>
      <x:c r="AI38"/>
      <x:c r="AJ38"/>
      <x:c r="AK38" t="str">
        <x:v>Recibido</x:v>
      </x:c>
      <x:c r="AL38" t="str">
        <x:v>Completo</x:v>
      </x:c>
      <x:c r="AM38"/>
      <x:c r="AN38" t="str">
        <x:v>Logística</x:v>
      </x:c>
      <x:c r="AO38" s="10" t="str">
        <x:v>26 24 1686 6026841</x:v>
      </x:c>
      <x:c r="AP38" s="10" t="str">
        <x:v>PG43937/26</x:v>
      </x:c>
      <x:c r="AQ38"/>
      <x:c r="AR38" s="13"/>
      <x:c r="AS38" s="26" t="n">
        <x:f>IF(R38&lt;&gt;"",MAX(0,R38-AR38),"")</x:f>
        <x:v>787623.09</x:v>
      </x:c>
      <x:c r="AT38" s="13" t="n">
        <x:v>40610.2</x:v>
      </x:c>
      <x:c r="AU38" s="13"/>
      <x:c r="AV38" s="13"/>
      <x:c r="AW38" s="13"/>
      <x:c r="AX38" s="13"/>
      <x:c r="AY38" s="26" t="n">
        <x:f>IF(R38&lt;&gt;"",R38+AT38,"")</x:f>
        <x:v>828233.2899999999</x:v>
      </x:c>
      <x:c r="AZ38" s="27" t="n">
        <x:f>IF(Q38&gt;0,AY38/Q38,"")</x:f>
        <x:v>43.90293663961495</x:v>
      </x:c>
      <x:c r="BA38" s="13" t="n">
        <x:v>56</x:v>
      </x:c>
      <x:c r="BB38" s="26" t="n">
        <x:f>IF(AND(BA38&lt;&gt;"",Q38&gt;0),BA38*Q38,"")</x:f>
        <x:v>1056445.5999999999</x:v>
      </x:c>
      <x:c r="BC38" s="26" t="n">
        <x:f>IF(AND(BB38&lt;&gt;"",AY38&lt;&gt;""),BB38-AY38,"")</x:f>
        <x:v>228212.30999999994</x:v>
      </x:c>
      <x:c r="BD38" s="26" t="n">
        <x:f>IF(AND(BA38&lt;&gt;"",AZ38&lt;&gt;""),BA38-AZ38,"")</x:f>
        <x:v>12.09706336038505</x:v>
      </x:c>
      <x:c r="BE38" s="28" t="n">
        <x:f>IF(BB38&gt;0,BC38/BB38,"")</x:f>
        <x:v>0.21601898857830443</x:v>
      </x:c>
      <x:c r="BF38" s="12"/>
      <x:c r="BG38" s="12"/>
      <x:c r="BH38"/>
      <x:c r="BI38" s="12"/>
      <x:c r="BJ38" s="12"/>
      <x:c r="BK38" s="28" t="n">
        <x:f>COUNTA(B38,G38,H38,I38,K38,M38,N38,Q38,R38,Y38,AE38,AF38,AI38,AK38)/14</x:f>
        <x:v>0.7857142857142857</x:v>
      </x:c>
      <x:c r="BL38" s="24" t="str">
        <x:f>IF(M38="","Falta país",IF(AE38="","Falta fracción",IF(AF38="","Falta Incoterm",IF(W38="","Falta tránsito",IF(X38="","Falta naviera",IF(AND(M38="Estados Unidos",AI38=""),"Falta inspección EE. UU.","Completo"))))))</x:f>
        <x:v>Falta fracción</x:v>
      </x:c>
      <x:c r="BM38" t="str">
        <x:v>001 Matriz</x:v>
      </x:c>
      <x:c r="BN38" t="str">
        <x:v>Porcino</x:v>
      </x:c>
      <x:c r="BO38" t="str">
        <x:v>Combo</x:v>
      </x:c>
      <x:c r="BP38"/>
      <x:c r="BQ38" s="12" t="n">
        <x:v>18865.1</x:v>
      </x:c>
      <x:c r="BR38" t="str">
        <x:v>Kilogramos</x:v>
      </x:c>
      <x:c r="BS38" s="12" t="n">
        <x:v>1</x:v>
      </x:c>
      <x:c r="BT38" s="13" t="n">
        <x:v>41.75</x:v>
      </x:c>
      <x:c r="BU38" s="13" t="n">
        <x:v>787623.09</x:v>
      </x:c>
    </x:row>
    <x:row r="39">
      <x:c r="A39" s="10" t="str">
        <x:v>LOG-202607-0038</x:v>
      </x:c>
      <x:c r="B39" s="11" t="n">
        <x:v>46213</x:v>
      </x:c>
      <x:c r="C39" s="24" t="n">
        <x:f>YEAR(B39)</x:f>
        <x:v>2026</x:v>
      </x:c>
      <x:c r="D39" s="24" t="str">
        <x:f>TEXT(B39,"yyyy-mm")</x:f>
        <x:v>2026-07</x:v>
      </x:c>
      <x:c r="E39" s="24" t="n">
        <x:f>WEEKNUM(B39,2)</x:f>
        <x:v>28</x:v>
      </x:c>
      <x:c r="F39" s="10" t="str">
        <x:v>ORIG-1191</x:v>
      </x:c>
      <x:c r="G39" s="10" t="str">
        <x:v>6161</x:v>
      </x:c>
      <x:c r="H39" s="10" t="str">
        <x:v>9270</x:v>
      </x:c>
      <x:c r="I39" t="str">
        <x:v>Pierna de Cerdo (Cb)</x:v>
      </x:c>
      <x:c r="J39" t="str">
        <x:v>Cerdo congelado</x:v>
      </x:c>
      <x:c r="K39" t="str">
        <x:v>003 Granja Calle 7</x:v>
      </x:c>
      <x:c r="L39" t="str">
        <x:v>Internacional</x:v>
      </x:c>
      <x:c r="M39" t="str">
        <x:v>Canadá</x:v>
      </x:c>
      <x:c r="N39" t="str">
        <x:v>BMG TRADING</x:v>
      </x:c>
      <x:c r="O39" s="10" t="str">
        <x:v>11654</x:v>
      </x:c>
      <x:c r="P39" s="10" t="str">
        <x:v>5413</x:v>
      </x:c>
      <x:c r="Q39" s="12" t="n">
        <x:v>18488.88</x:v>
      </x:c>
      <x:c r="R39" s="13" t="n">
        <x:v>780206.73</x:v>
      </x:c>
      <x:c r="S39" t="str">
        <x:v>MXN</x:v>
      </x:c>
      <x:c r="T39" s="12" t="n">
        <x:v>1</x:v>
      </x:c>
      <x:c r="U39" s="11"/>
      <x:c r="V39" s="11"/>
      <x:c r="W39" s="24" t="str">
        <x:f>IF(AND(B39&lt;&gt;"",V39&lt;&gt;""),V39-B39,"")</x:f>
      </x:c>
      <x:c r="X39"/>
      <x:c r="Y39" t="str">
        <x:v>Terrestre</x:v>
      </x:c>
      <x:c r="Z39"/>
      <x:c r="AA39"/>
      <x:c r="AB39" s="11"/>
      <x:c r="AC39" s="11"/>
      <x:c r="AD39" s="24" t="str">
        <x:f>IF(AND(AB39&lt;&gt;"",AC39&lt;&gt;""),AC39-AB39,"")</x:f>
      </x:c>
      <x:c r="AE39" s="10"/>
      <x:c r="AF39"/>
      <x:c r="AG39"/>
      <x:c r="AH39" s="25" t="str">
        <x:f>IF(AND(B39&lt;&gt;"",AG39&lt;&gt;""),B39+AG39,"")</x:f>
      </x:c>
      <x:c r="AI39" t="str">
        <x:v>No aplica</x:v>
      </x:c>
      <x:c r="AJ39"/>
      <x:c r="AK39" t="str">
        <x:v>Recibido</x:v>
      </x:c>
      <x:c r="AL39" t="str">
        <x:v>Completo</x:v>
      </x:c>
      <x:c r="AM39"/>
      <x:c r="AN39" t="str">
        <x:v>Logística</x:v>
      </x:c>
      <x:c r="AO39" s="10" t="str">
        <x:v>26 24 1686 6026759</x:v>
      </x:c>
      <x:c r="AP39" s="10" t="str">
        <x:v>PG43740/26</x:v>
      </x:c>
      <x:c r="AQ39"/>
      <x:c r="AR39" s="13"/>
      <x:c r="AS39" s="26" t="n">
        <x:f>IF(R39&lt;&gt;"",MAX(0,R39-AR39),"")</x:f>
        <x:v>780206.73</x:v>
      </x:c>
      <x:c r="AT39" s="13" t="n">
        <x:v>40610.2</x:v>
      </x:c>
      <x:c r="AU39" s="13"/>
      <x:c r="AV39" s="13"/>
      <x:c r="AW39" s="13"/>
      <x:c r="AX39" s="13"/>
      <x:c r="AY39" s="26" t="n">
        <x:f>IF(R39&lt;&gt;"",R39+AT39,"")</x:f>
        <x:v>820816.9299999999</x:v>
      </x:c>
      <x:c r="AZ39" s="27" t="n">
        <x:f>IF(Q39&gt;0,AY39/Q39,"")</x:f>
        <x:v>44.39516779815759</x:v>
      </x:c>
      <x:c r="BA39" s="13" t="n">
        <x:v>45</x:v>
      </x:c>
      <x:c r="BB39" s="26" t="n">
        <x:f>IF(AND(BA39&lt;&gt;"",Q39&gt;0),BA39*Q39,"")</x:f>
        <x:v>831999.6000000001</x:v>
      </x:c>
      <x:c r="BC39" s="26" t="n">
        <x:f>IF(AND(BB39&lt;&gt;"",AY39&lt;&gt;""),BB39-AY39,"")</x:f>
        <x:v>11182.670000000158</x:v>
      </x:c>
      <x:c r="BD39" s="26" t="n">
        <x:f>IF(AND(BA39&lt;&gt;"",AZ39&lt;&gt;""),BA39-AZ39,"")</x:f>
        <x:v>0.604832201842413</x:v>
      </x:c>
      <x:c r="BE39" s="28" t="n">
        <x:f>IF(BB39&gt;0,BC39/BB39,"")</x:f>
        <x:v>0.013440715596498072</x:v>
      </x:c>
      <x:c r="BF39" s="12"/>
      <x:c r="BG39" s="12"/>
      <x:c r="BH39"/>
      <x:c r="BI39" s="12"/>
      <x:c r="BJ39" s="12"/>
      <x:c r="BK39" s="28" t="n">
        <x:f>COUNTA(B39,G39,H39,I39,K39,M39,N39,Q39,R39,Y39,AE39,AF39,AI39,AK39)/14</x:f>
        <x:v>0.8571428571428571</x:v>
      </x:c>
      <x:c r="BL39" s="24" t="str">
        <x:f>IF(M39="","Falta país",IF(AE39="","Falta fracción",IF(AF39="","Falta Incoterm",IF(W39="","Falta tránsito",IF(X39="","Falta naviera",IF(AND(M39="Estados Unidos",AI39=""),"Falta inspección EE. UU.","Completo"))))))</x:f>
        <x:v>Falta fracción</x:v>
      </x:c>
      <x:c r="BM39" t="str">
        <x:v>001 Matriz</x:v>
      </x:c>
      <x:c r="BN39" t="str">
        <x:v>Porcino</x:v>
      </x:c>
      <x:c r="BO39" t="str">
        <x:v>Combo</x:v>
      </x:c>
      <x:c r="BP39"/>
      <x:c r="BQ39" s="12" t="n">
        <x:v>18488.88</x:v>
      </x:c>
      <x:c r="BR39" t="str">
        <x:v>Kilogramos</x:v>
      </x:c>
      <x:c r="BS39" s="12" t="n">
        <x:v>1</x:v>
      </x:c>
      <x:c r="BT39" s="13" t="n">
        <x:v>42.2</x:v>
      </x:c>
      <x:c r="BU39" s="13" t="n">
        <x:v>780206.73</x:v>
      </x:c>
    </x:row>
    <x:row r="40">
      <x:c r="A40" s="10" t="str">
        <x:v>LOG-202607-0039</x:v>
      </x:c>
      <x:c r="B40" s="11" t="n">
        <x:v>46213</x:v>
      </x:c>
      <x:c r="C40" s="24" t="n">
        <x:f>YEAR(B40)</x:f>
        <x:v>2026</x:v>
      </x:c>
      <x:c r="D40" s="24" t="str">
        <x:f>TEXT(B40,"yyyy-mm")</x:f>
        <x:v>2026-07</x:v>
      </x:c>
      <x:c r="E40" s="24" t="n">
        <x:f>WEEKNUM(B40,2)</x:f>
        <x:v>28</x:v>
      </x:c>
      <x:c r="F40" s="10" t="str">
        <x:v>ORIG-1192</x:v>
      </x:c>
      <x:c r="G40" s="10" t="str">
        <x:v>6166</x:v>
      </x:c>
      <x:c r="H40" s="10" t="str">
        <x:v>9270</x:v>
      </x:c>
      <x:c r="I40" t="str">
        <x:v>Pierna de Cerdo (Cb)</x:v>
      </x:c>
      <x:c r="J40" t="str">
        <x:v>Cerdo congelado</x:v>
      </x:c>
      <x:c r="K40" t="str">
        <x:v>003 Granja Calle 7</x:v>
      </x:c>
      <x:c r="L40" t="str">
        <x:v>Internacional</x:v>
      </x:c>
      <x:c r="M40" t="str">
        <x:v>Canadá</x:v>
      </x:c>
      <x:c r="N40" t="str">
        <x:v>CANADA PACKERS INC</x:v>
      </x:c>
      <x:c r="O40" s="10" t="str">
        <x:v>9601928790</x:v>
      </x:c>
      <x:c r="P40" s="10" t="str">
        <x:v>5366</x:v>
      </x:c>
      <x:c r="Q40" s="12" t="n">
        <x:v>18793.21</x:v>
      </x:c>
      <x:c r="R40" s="13" t="n">
        <x:v>836203.14</x:v>
      </x:c>
      <x:c r="S40" t="str">
        <x:v>MXN</x:v>
      </x:c>
      <x:c r="T40" s="12" t="n">
        <x:v>1</x:v>
      </x:c>
      <x:c r="U40" s="11"/>
      <x:c r="V40" s="11"/>
      <x:c r="W40" s="24" t="str">
        <x:f>IF(AND(B40&lt;&gt;"",V40&lt;&gt;""),V40-B40,"")</x:f>
      </x:c>
      <x:c r="X40"/>
      <x:c r="Y40" t="str">
        <x:v>Terrestre</x:v>
      </x:c>
      <x:c r="Z40"/>
      <x:c r="AA40"/>
      <x:c r="AB40" s="11"/>
      <x:c r="AC40" s="11"/>
      <x:c r="AD40" s="24" t="str">
        <x:f>IF(AND(AB40&lt;&gt;"",AC40&lt;&gt;""),AC40-AB40,"")</x:f>
      </x:c>
      <x:c r="AE40" s="10"/>
      <x:c r="AF40"/>
      <x:c r="AG40"/>
      <x:c r="AH40" s="25" t="str">
        <x:f>IF(AND(B40&lt;&gt;"",AG40&lt;&gt;""),B40+AG40,"")</x:f>
      </x:c>
      <x:c r="AI40" t="str">
        <x:v>No aplica</x:v>
      </x:c>
      <x:c r="AJ40"/>
      <x:c r="AK40" t="str">
        <x:v>Recibido</x:v>
      </x:c>
      <x:c r="AL40" t="str">
        <x:v>Completo</x:v>
      </x:c>
      <x:c r="AM40"/>
      <x:c r="AN40" t="str">
        <x:v>Logística</x:v>
      </x:c>
      <x:c r="AO40" s="10" t="str">
        <x:v>26 24 1686 6026983</x:v>
      </x:c>
      <x:c r="AP40" s="10" t="str">
        <x:v>PG44272/26</x:v>
      </x:c>
      <x:c r="AQ40"/>
      <x:c r="AR40" s="13"/>
      <x:c r="AS40" s="26" t="n">
        <x:f>IF(R40&lt;&gt;"",MAX(0,R40-AR40),"")</x:f>
        <x:v>836203.14</x:v>
      </x:c>
      <x:c r="AT40" s="13" t="n">
        <x:v>40610.2</x:v>
      </x:c>
      <x:c r="AU40" s="13"/>
      <x:c r="AV40" s="13"/>
      <x:c r="AW40" s="13"/>
      <x:c r="AX40" s="13"/>
      <x:c r="AY40" s="26" t="n">
        <x:f>IF(R40&lt;&gt;"",R40+AT40,"")</x:f>
        <x:v>876813.34</x:v>
      </x:c>
      <x:c r="AZ40" s="27" t="n">
        <x:f>IF(Q40&gt;0,AY40/Q40,"")</x:f>
        <x:v>46.65585815302442</x:v>
      </x:c>
      <x:c r="BA40" s="13" t="n">
        <x:v>45</x:v>
      </x:c>
      <x:c r="BB40" s="26" t="n">
        <x:f>IF(AND(BA40&lt;&gt;"",Q40&gt;0),BA40*Q40,"")</x:f>
        <x:v>845694.45</x:v>
      </x:c>
      <x:c r="BC40" s="26" t="n">
        <x:f>IF(AND(BB40&lt;&gt;"",AY40&lt;&gt;""),BB40-AY40,"")</x:f>
        <x:v>-31118.890000000014</x:v>
      </x:c>
      <x:c r="BD40" s="26" t="n">
        <x:f>IF(AND(BA40&lt;&gt;"",AZ40&lt;&gt;""),BA40-AZ40,"")</x:f>
        <x:v>-1.6558581530244183</x:v>
      </x:c>
      <x:c r="BE40" s="28" t="n">
        <x:f>IF(BB40&gt;0,BC40/BB40,"")</x:f>
        <x:v>-0.03679684784498706</x:v>
      </x:c>
      <x:c r="BF40" s="12"/>
      <x:c r="BG40" s="12"/>
      <x:c r="BH40"/>
      <x:c r="BI40" s="12"/>
      <x:c r="BJ40" s="12"/>
      <x:c r="BK40" s="28" t="n">
        <x:f>COUNTA(B40,G40,H40,I40,K40,M40,N40,Q40,R40,Y40,AE40,AF40,AI40,AK40)/14</x:f>
        <x:v>0.8571428571428571</x:v>
      </x:c>
      <x:c r="BL40" s="24" t="str">
        <x:f>IF(M40="","Falta país",IF(AE40="","Falta fracción",IF(AF40="","Falta Incoterm",IF(W40="","Falta tránsito",IF(X40="","Falta naviera",IF(AND(M40="Estados Unidos",AI40=""),"Falta inspección EE. UU.","Completo"))))))</x:f>
        <x:v>Falta fracción</x:v>
      </x:c>
      <x:c r="BM40" t="str">
        <x:v>001 Matriz</x:v>
      </x:c>
      <x:c r="BN40" t="str">
        <x:v>Porcino</x:v>
      </x:c>
      <x:c r="BO40" t="str">
        <x:v>Combo</x:v>
      </x:c>
      <x:c r="BP40"/>
      <x:c r="BQ40" s="12" t="n">
        <x:v>18793.21</x:v>
      </x:c>
      <x:c r="BR40" t="str">
        <x:v>Kilogramos</x:v>
      </x:c>
      <x:c r="BS40" s="12" t="n">
        <x:v>1</x:v>
      </x:c>
      <x:c r="BT40" s="13" t="n">
        <x:v>44.49</x:v>
      </x:c>
      <x:c r="BU40" s="13" t="n">
        <x:v>836203.14</x:v>
      </x:c>
    </x:row>
    <x:row r="41">
      <x:c r="A41" s="10" t="str">
        <x:v>LOG-202607-0040</x:v>
      </x:c>
      <x:c r="B41" s="11" t="n">
        <x:v>46213</x:v>
      </x:c>
      <x:c r="C41" s="24" t="n">
        <x:f>YEAR(B41)</x:f>
        <x:v>2026</x:v>
      </x:c>
      <x:c r="D41" s="24" t="str">
        <x:f>TEXT(B41,"yyyy-mm")</x:f>
        <x:v>2026-07</x:v>
      </x:c>
      <x:c r="E41" s="24" t="n">
        <x:f>WEEKNUM(B41,2)</x:f>
        <x:v>28</x:v>
      </x:c>
      <x:c r="F41" s="10" t="str">
        <x:v>ORIG-1216</x:v>
      </x:c>
      <x:c r="G41" s="10" t="str">
        <x:v>6164</x:v>
      </x:c>
      <x:c r="H41" s="10" t="str">
        <x:v>9128</x:v>
      </x:c>
      <x:c r="I41" t="str">
        <x:v>Buche Crudo Mariposa (Cj)</x:v>
      </x:c>
      <x:c r="J41" t="str">
        <x:v>Cerdo congelado</x:v>
      </x:c>
      <x:c r="K41" t="str">
        <x:v>003 Granja Calle 7</x:v>
      </x:c>
      <x:c r="L41" t="str">
        <x:v>Internacional</x:v>
      </x:c>
      <x:c r="M41"/>
      <x:c r="N41" t="str">
        <x:v>ESS FOOD</x:v>
      </x:c>
      <x:c r="O41" s="10" t="str">
        <x:v>3900467156</x:v>
      </x:c>
      <x:c r="P41" s="10" t="str">
        <x:v>5276</x:v>
      </x:c>
      <x:c r="Q41" s="12" t="n">
        <x:v>25000</x:v>
      </x:c>
      <x:c r="R41" s="13" t="n">
        <x:v>1227450</x:v>
      </x:c>
      <x:c r="S41" t="str">
        <x:v>MXN</x:v>
      </x:c>
      <x:c r="T41" s="12" t="n">
        <x:v>1</x:v>
      </x:c>
      <x:c r="U41" s="11"/>
      <x:c r="V41" s="11"/>
      <x:c r="W41" s="24" t="str">
        <x:f>IF(AND(B41&lt;&gt;"",V41&lt;&gt;""),V41-B41,"")</x:f>
      </x:c>
      <x:c r="X41"/>
      <x:c r="Y41"/>
      <x:c r="Z41"/>
      <x:c r="AA41"/>
      <x:c r="AB41" s="11"/>
      <x:c r="AC41" s="11"/>
      <x:c r="AD41" s="24" t="str">
        <x:f>IF(AND(AB41&lt;&gt;"",AC41&lt;&gt;""),AC41-AB41,"")</x:f>
      </x:c>
      <x:c r="AE41" s="10"/>
      <x:c r="AF41"/>
      <x:c r="AG41"/>
      <x:c r="AH41" s="25" t="str">
        <x:f>IF(AND(B41&lt;&gt;"",AG41&lt;&gt;""),B41+AG41,"")</x:f>
      </x:c>
      <x:c r="AI41"/>
      <x:c r="AJ41"/>
      <x:c r="AK41" t="str">
        <x:v>Recibido</x:v>
      </x:c>
      <x:c r="AL41"/>
      <x:c r="AM41"/>
      <x:c r="AN41"/>
      <x:c r="AO41" s="10"/>
      <x:c r="AP41" s="10"/>
      <x:c r="AQ41"/>
      <x:c r="AR41" s="13"/>
      <x:c r="AS41" s="26" t="n">
        <x:f>IF(R41&lt;&gt;"",MAX(0,R41-AR41),"")</x:f>
        <x:v>1227450</x:v>
      </x:c>
      <x:c r="AT41" s="13"/>
      <x:c r="AU41" s="13"/>
      <x:c r="AV41" s="13"/>
      <x:c r="AW41" s="13"/>
      <x:c r="AX41" s="13"/>
      <x:c r="AY41" s="26" t="n">
        <x:f>IF(R41&lt;&gt;"",R41+AT41,"")</x:f>
        <x:v>1227450</x:v>
      </x:c>
      <x:c r="AZ41" s="27" t="n">
        <x:f>IF(Q41&gt;0,AY41/Q41,"")</x:f>
        <x:v>49.098</x:v>
      </x:c>
      <x:c r="BA41" s="13"/>
      <x:c r="BB41" s="26" t="str">
        <x:f>IF(AND(BA41&lt;&gt;"",Q41&gt;0),BA41*Q41,"")</x:f>
      </x:c>
      <x:c r="BC41" s="26" t="str">
        <x:f>IF(AND(BB41&lt;&gt;"",AY41&lt;&gt;""),BB41-AY41,"")</x:f>
      </x:c>
      <x:c r="BD41" s="26" t="str">
        <x:f>IF(AND(BA41&lt;&gt;"",AZ41&lt;&gt;""),BA41-AZ41,"")</x:f>
      </x:c>
      <x:c r="BE41" s="28" t="str">
        <x:f>IF(BB41&gt;0,BC41/BB41,"")</x:f>
      </x:c>
      <x:c r="BF41" s="12"/>
      <x:c r="BG41" s="12"/>
      <x:c r="BH41"/>
      <x:c r="BI41" s="12"/>
      <x:c r="BJ41" s="12"/>
      <x:c r="BK41" s="28" t="n">
        <x:f>COUNTA(B41,G41,H41,I41,K41,M41,N41,Q41,R41,Y41,AE41,AF41,AI41,AK41)/14</x:f>
        <x:v>0.6428571428571429</x:v>
      </x:c>
      <x:c r="BL41" s="24" t="str">
        <x:f>IF(M41="","Falta país",IF(AE41="","Falta fracción",IF(AF41="","Falta Incoterm",IF(W41="","Falta tránsito",IF(X41="","Falta naviera",IF(AND(M41="Estados Unidos",AI41=""),"Falta inspección EE. UU.","Completo"))))))</x:f>
        <x:v>Falta país</x:v>
      </x:c>
      <x:c r="BM41" t="str">
        <x:v>001 Matriz</x:v>
      </x:c>
      <x:c r="BN41" t="str">
        <x:v>Porcino</x:v>
      </x:c>
      <x:c r="BO41" t="str">
        <x:v>Caja</x:v>
      </x:c>
      <x:c r="BP41"/>
      <x:c r="BQ41" s="12" t="n">
        <x:v>25000</x:v>
      </x:c>
      <x:c r="BR41" t="str">
        <x:v>Kilogramos</x:v>
      </x:c>
      <x:c r="BS41" s="12" t="n">
        <x:v>1</x:v>
      </x:c>
      <x:c r="BT41" s="13" t="n">
        <x:v>49.1</x:v>
      </x:c>
      <x:c r="BU41" s="13" t="n">
        <x:v>1227450</x:v>
      </x:c>
    </x:row>
    <x:row r="42">
      <x:c r="A42" s="10" t="str">
        <x:v>LOG-202607-0041</x:v>
      </x:c>
      <x:c r="B42" s="11" t="n">
        <x:v>46212</x:v>
      </x:c>
      <x:c r="C42" s="24" t="n">
        <x:f>YEAR(B42)</x:f>
        <x:v>2026</x:v>
      </x:c>
      <x:c r="D42" s="24" t="str">
        <x:f>TEXT(B42,"yyyy-mm")</x:f>
        <x:v>2026-07</x:v>
      </x:c>
      <x:c r="E42" s="24" t="n">
        <x:f>WEEKNUM(B42,2)</x:f>
        <x:v>28</x:v>
      </x:c>
      <x:c r="F42" s="10" t="str">
        <x:v>ORIG-1257</x:v>
      </x:c>
      <x:c r="G42" s="10" t="str">
        <x:v>6159</x:v>
      </x:c>
      <x:c r="H42" s="10" t="str">
        <x:v>9265</x:v>
      </x:c>
      <x:c r="I42" t="str">
        <x:v>Picnic (Cb)</x:v>
      </x:c>
      <x:c r="J42" t="str">
        <x:v>Cerdo congelado</x:v>
      </x:c>
      <x:c r="K42" t="str">
        <x:v>003 Granja Calle 7</x:v>
      </x:c>
      <x:c r="L42" t="str">
        <x:v>Internacional</x:v>
      </x:c>
      <x:c r="M42" t="str">
        <x:v>Estados Unidos</x:v>
      </x:c>
      <x:c r="N42" t="str">
        <x:v>SWIFT PORK COMPANY</x:v>
      </x:c>
      <x:c r="O42" s="10" t="str">
        <x:v>9093572953</x:v>
      </x:c>
      <x:c r="P42" s="10" t="str">
        <x:v>5423</x:v>
      </x:c>
      <x:c r="Q42" s="12" t="n">
        <x:v>18131.18</x:v>
      </x:c>
      <x:c r="R42" s="13" t="n">
        <x:v>816035.88</x:v>
      </x:c>
      <x:c r="S42" t="str">
        <x:v>MXN</x:v>
      </x:c>
      <x:c r="T42" s="12" t="n">
        <x:v>1</x:v>
      </x:c>
      <x:c r="U42" s="11"/>
      <x:c r="V42" s="11"/>
      <x:c r="W42" s="24" t="str">
        <x:f>IF(AND(B42&lt;&gt;"",V42&lt;&gt;""),V42-B42,"")</x:f>
      </x:c>
      <x:c r="X42"/>
      <x:c r="Y42" t="str">
        <x:v>Terrestre</x:v>
      </x:c>
      <x:c r="Z42"/>
      <x:c r="AA42"/>
      <x:c r="AB42" s="11"/>
      <x:c r="AC42" s="11"/>
      <x:c r="AD42" s="24" t="str">
        <x:f>IF(AND(AB42&lt;&gt;"",AC42&lt;&gt;""),AC42-AB42,"")</x:f>
      </x:c>
      <x:c r="AE42" s="10"/>
      <x:c r="AF42"/>
      <x:c r="AG42"/>
      <x:c r="AH42" s="25" t="str">
        <x:f>IF(AND(B42&lt;&gt;"",AG42&lt;&gt;""),B42+AG42,"")</x:f>
      </x:c>
      <x:c r="AI42"/>
      <x:c r="AJ42"/>
      <x:c r="AK42" t="str">
        <x:v>Recibido</x:v>
      </x:c>
      <x:c r="AL42" t="str">
        <x:v>Completo</x:v>
      </x:c>
      <x:c r="AM42"/>
      <x:c r="AN42" t="str">
        <x:v>Logística</x:v>
      </x:c>
      <x:c r="AO42" s="10" t="str">
        <x:v>26 24 1686 6026540</x:v>
      </x:c>
      <x:c r="AP42" s="10" t="str">
        <x:v>PG43445/26</x:v>
      </x:c>
      <x:c r="AQ42"/>
      <x:c r="AR42" s="13"/>
      <x:c r="AS42" s="26" t="n">
        <x:f>IF(R42&lt;&gt;"",MAX(0,R42-AR42),"")</x:f>
        <x:v>816035.88</x:v>
      </x:c>
      <x:c r="AT42" s="13" t="n">
        <x:v>44530.2</x:v>
      </x:c>
      <x:c r="AU42" s="13"/>
      <x:c r="AV42" s="13"/>
      <x:c r="AW42" s="13"/>
      <x:c r="AX42" s="13"/>
      <x:c r="AY42" s="26" t="n">
        <x:f>IF(R42&lt;&gt;"",R42+AT42,"")</x:f>
        <x:v>860566.08</x:v>
      </x:c>
      <x:c r="AZ42" s="27" t="n">
        <x:f>IF(Q42&gt;0,AY42/Q42,"")</x:f>
        <x:v>47.46332450507909</x:v>
      </x:c>
      <x:c r="BA42" s="13" t="n">
        <x:v>56</x:v>
      </x:c>
      <x:c r="BB42" s="26" t="n">
        <x:f>IF(AND(BA42&lt;&gt;"",Q42&gt;0),BA42*Q42,"")</x:f>
        <x:v>1015346.0800000001</x:v>
      </x:c>
      <x:c r="BC42" s="26" t="n">
        <x:f>IF(AND(BB42&lt;&gt;"",AY42&lt;&gt;""),BB42-AY42,"")</x:f>
        <x:v>154780.00000000012</x:v>
      </x:c>
      <x:c r="BD42" s="26" t="n">
        <x:f>IF(AND(BA42&lt;&gt;"",AZ42&lt;&gt;""),BA42-AZ42,"")</x:f>
        <x:v>8.536675494920907</x:v>
      </x:c>
      <x:c r="BE42" s="28" t="n">
        <x:f>IF(BB42&gt;0,BC42/BB42,"")</x:f>
        <x:v>0.1524406338378734</x:v>
      </x:c>
      <x:c r="BF42" s="12"/>
      <x:c r="BG42" s="12"/>
      <x:c r="BH42"/>
      <x:c r="BI42" s="12"/>
      <x:c r="BJ42" s="12"/>
      <x:c r="BK42" s="28" t="n">
        <x:f>COUNTA(B42,G42,H42,I42,K42,M42,N42,Q42,R42,Y42,AE42,AF42,AI42,AK42)/14</x:f>
        <x:v>0.7857142857142857</x:v>
      </x:c>
      <x:c r="BL42" s="24" t="str">
        <x:f>IF(M42="","Falta país",IF(AE42="","Falta fracción",IF(AF42="","Falta Incoterm",IF(W42="","Falta tránsito",IF(X42="","Falta naviera",IF(AND(M42="Estados Unidos",AI42=""),"Falta inspección EE. UU.","Completo"))))))</x:f>
        <x:v>Falta fracción</x:v>
      </x:c>
      <x:c r="BM42" t="str">
        <x:v>001 Matriz</x:v>
      </x:c>
      <x:c r="BN42" t="str">
        <x:v>Porcino</x:v>
      </x:c>
      <x:c r="BO42" t="str">
        <x:v>Combo</x:v>
      </x:c>
      <x:c r="BP42"/>
      <x:c r="BQ42" s="12" t="n">
        <x:v>18131.18</x:v>
      </x:c>
      <x:c r="BR42" t="str">
        <x:v>Kilogramos</x:v>
      </x:c>
      <x:c r="BS42" s="12" t="n">
        <x:v>1</x:v>
      </x:c>
      <x:c r="BT42" s="13" t="n">
        <x:v>45.01</x:v>
      </x:c>
      <x:c r="BU42" s="13" t="n">
        <x:v>816035.88</x:v>
      </x:c>
    </x:row>
    <x:row r="43">
      <x:c r="A43" s="10" t="str">
        <x:v>LOG-202607-0042</x:v>
      </x:c>
      <x:c r="B43" s="11" t="n">
        <x:v>46212</x:v>
      </x:c>
      <x:c r="C43" s="24" t="n">
        <x:f>YEAR(B43)</x:f>
        <x:v>2026</x:v>
      </x:c>
      <x:c r="D43" s="24" t="str">
        <x:f>TEXT(B43,"yyyy-mm")</x:f>
        <x:v>2026-07</x:v>
      </x:c>
      <x:c r="E43" s="24" t="n">
        <x:f>WEEKNUM(B43,2)</x:f>
        <x:v>28</x:v>
      </x:c>
      <x:c r="F43" s="10" t="str">
        <x:v>ORIG-1259</x:v>
      </x:c>
      <x:c r="G43" s="10" t="str">
        <x:v>6181</x:v>
      </x:c>
      <x:c r="H43" s="10" t="str">
        <x:v>9172</x:v>
      </x:c>
      <x:c r="I43" t="str">
        <x:v>Codillo S/Perico (Cj)</x:v>
      </x:c>
      <x:c r="J43" t="str">
        <x:v>Cerdo congelado</x:v>
      </x:c>
      <x:c r="K43" t="str">
        <x:v>003 Granja Calle 7</x:v>
      </x:c>
      <x:c r="L43" t="str">
        <x:v>Internacional</x:v>
      </x:c>
      <x:c r="M43"/>
      <x:c r="N43" t="str">
        <x:v>MASTER AGROINDUSTRIAL</x:v>
      </x:c>
      <x:c r="O43" s="10" t="str">
        <x:v>260706</x:v>
      </x:c>
      <x:c r="P43" s="10" t="str">
        <x:v>5430</x:v>
      </x:c>
      <x:c r="Q43" s="12" t="n">
        <x:v>24983.93</x:v>
      </x:c>
      <x:c r="R43" s="13" t="n">
        <x:v>510051.63</x:v>
      </x:c>
      <x:c r="S43" t="str">
        <x:v>MXN</x:v>
      </x:c>
      <x:c r="T43" s="12" t="n">
        <x:v>1</x:v>
      </x:c>
      <x:c r="U43" s="11"/>
      <x:c r="V43" s="11"/>
      <x:c r="W43" s="24" t="str">
        <x:f>IF(AND(B43&lt;&gt;"",V43&lt;&gt;""),V43-B43,"")</x:f>
      </x:c>
      <x:c r="X43"/>
      <x:c r="Y43"/>
      <x:c r="Z43"/>
      <x:c r="AA43"/>
      <x:c r="AB43" s="11"/>
      <x:c r="AC43" s="11"/>
      <x:c r="AD43" s="24" t="str">
        <x:f>IF(AND(AB43&lt;&gt;"",AC43&lt;&gt;""),AC43-AB43,"")</x:f>
      </x:c>
      <x:c r="AE43" s="10"/>
      <x:c r="AF43"/>
      <x:c r="AG43"/>
      <x:c r="AH43" s="25" t="str">
        <x:f>IF(AND(B43&lt;&gt;"",AG43&lt;&gt;""),B43+AG43,"")</x:f>
      </x:c>
      <x:c r="AI43"/>
      <x:c r="AJ43"/>
      <x:c r="AK43" t="str">
        <x:v>Recibido</x:v>
      </x:c>
      <x:c r="AL43"/>
      <x:c r="AM43"/>
      <x:c r="AN43"/>
      <x:c r="AO43" s="10"/>
      <x:c r="AP43" s="10"/>
      <x:c r="AQ43"/>
      <x:c r="AR43" s="13"/>
      <x:c r="AS43" s="26" t="n">
        <x:f>IF(R43&lt;&gt;"",MAX(0,R43-AR43),"")</x:f>
        <x:v>510051.63</x:v>
      </x:c>
      <x:c r="AT43" s="13"/>
      <x:c r="AU43" s="13"/>
      <x:c r="AV43" s="13"/>
      <x:c r="AW43" s="13"/>
      <x:c r="AX43" s="13"/>
      <x:c r="AY43" s="26" t="n">
        <x:f>IF(R43&lt;&gt;"",R43+AT43,"")</x:f>
        <x:v>510051.63</x:v>
      </x:c>
      <x:c r="AZ43" s="27" t="n">
        <x:f>IF(Q43&gt;0,AY43/Q43,"")</x:f>
        <x:v>20.41518808289969</x:v>
      </x:c>
      <x:c r="BA43" s="13"/>
      <x:c r="BB43" s="26" t="str">
        <x:f>IF(AND(BA43&lt;&gt;"",Q43&gt;0),BA43*Q43,"")</x:f>
      </x:c>
      <x:c r="BC43" s="26" t="str">
        <x:f>IF(AND(BB43&lt;&gt;"",AY43&lt;&gt;""),BB43-AY43,"")</x:f>
      </x:c>
      <x:c r="BD43" s="26" t="str">
        <x:f>IF(AND(BA43&lt;&gt;"",AZ43&lt;&gt;""),BA43-AZ43,"")</x:f>
      </x:c>
      <x:c r="BE43" s="28" t="str">
        <x:f>IF(BB43&gt;0,BC43/BB43,"")</x:f>
      </x:c>
      <x:c r="BF43" s="12"/>
      <x:c r="BG43" s="12"/>
      <x:c r="BH43"/>
      <x:c r="BI43" s="12"/>
      <x:c r="BJ43" s="12"/>
      <x:c r="BK43" s="28" t="n">
        <x:f>COUNTA(B43,G43,H43,I43,K43,M43,N43,Q43,R43,Y43,AE43,AF43,AI43,AK43)/14</x:f>
        <x:v>0.6428571428571429</x:v>
      </x:c>
      <x:c r="BL43" s="24" t="str">
        <x:f>IF(M43="","Falta país",IF(AE43="","Falta fracción",IF(AF43="","Falta Incoterm",IF(W43="","Falta tránsito",IF(X43="","Falta naviera",IF(AND(M43="Estados Unidos",AI43=""),"Falta inspección EE. UU.","Completo"))))))</x:f>
        <x:v>Falta país</x:v>
      </x:c>
      <x:c r="BM43" t="str">
        <x:v>001 Matriz</x:v>
      </x:c>
      <x:c r="BN43" t="str">
        <x:v>Porcino</x:v>
      </x:c>
      <x:c r="BO43" t="str">
        <x:v>Caja</x:v>
      </x:c>
      <x:c r="BP43"/>
      <x:c r="BQ43" s="12" t="n">
        <x:v>24983.93</x:v>
      </x:c>
      <x:c r="BR43" t="str">
        <x:v>Kilogramos</x:v>
      </x:c>
      <x:c r="BS43" s="12" t="n">
        <x:v>1</x:v>
      </x:c>
      <x:c r="BT43" s="13" t="n">
        <x:v>20.42</x:v>
      </x:c>
      <x:c r="BU43" s="13" t="n">
        <x:v>510051.63</x:v>
      </x:c>
    </x:row>
    <x:row r="44">
      <x:c r="A44" s="10" t="str">
        <x:v>LOG-202607-0043</x:v>
      </x:c>
      <x:c r="B44" s="11" t="n">
        <x:v>46211</x:v>
      </x:c>
      <x:c r="C44" s="24" t="n">
        <x:f>YEAR(B44)</x:f>
        <x:v>2026</x:v>
      </x:c>
      <x:c r="D44" s="24" t="str">
        <x:f>TEXT(B44,"yyyy-mm")</x:f>
        <x:v>2026-07</x:v>
      </x:c>
      <x:c r="E44" s="24" t="n">
        <x:f>WEEKNUM(B44,2)</x:f>
        <x:v>28</x:v>
      </x:c>
      <x:c r="F44" s="10" t="str">
        <x:v>ORIG-1329</x:v>
      </x:c>
      <x:c r="G44" s="10" t="str">
        <x:v>6162</x:v>
      </x:c>
      <x:c r="H44" s="10" t="str">
        <x:v>9270</x:v>
      </x:c>
      <x:c r="I44" t="str">
        <x:v>Pierna de Cerdo (Cb)</x:v>
      </x:c>
      <x:c r="J44" t="str">
        <x:v>Cerdo congelado</x:v>
      </x:c>
      <x:c r="K44" t="str">
        <x:v>003 Granja Calle 7</x:v>
      </x:c>
      <x:c r="L44" t="str">
        <x:v>Internacional</x:v>
      </x:c>
      <x:c r="M44" t="str">
        <x:v>Canadá</x:v>
      </x:c>
      <x:c r="N44" t="str">
        <x:v>HYLIFE FOODS LP</x:v>
      </x:c>
      <x:c r="O44" s="10" t="str">
        <x:v>INN0307970</x:v>
      </x:c>
      <x:c r="P44" s="10" t="str">
        <x:v>5399</x:v>
      </x:c>
      <x:c r="Q44" s="12" t="n">
        <x:v>18808</x:v>
      </x:c>
      <x:c r="R44" s="13" t="n">
        <x:v>791908.35</x:v>
      </x:c>
      <x:c r="S44" t="str">
        <x:v>MXN</x:v>
      </x:c>
      <x:c r="T44" s="12" t="n">
        <x:v>1</x:v>
      </x:c>
      <x:c r="U44" s="11"/>
      <x:c r="V44" s="11"/>
      <x:c r="W44" s="24" t="str">
        <x:f>IF(AND(B44&lt;&gt;"",V44&lt;&gt;""),V44-B44,"")</x:f>
      </x:c>
      <x:c r="X44"/>
      <x:c r="Y44" t="str">
        <x:v>Terrestre</x:v>
      </x:c>
      <x:c r="Z44"/>
      <x:c r="AA44"/>
      <x:c r="AB44" s="11"/>
      <x:c r="AC44" s="11"/>
      <x:c r="AD44" s="24" t="str">
        <x:f>IF(AND(AB44&lt;&gt;"",AC44&lt;&gt;""),AC44-AB44,"")</x:f>
      </x:c>
      <x:c r="AE44" s="10"/>
      <x:c r="AF44"/>
      <x:c r="AG44"/>
      <x:c r="AH44" s="25" t="str">
        <x:f>IF(AND(B44&lt;&gt;"",AG44&lt;&gt;""),B44+AG44,"")</x:f>
      </x:c>
      <x:c r="AI44" t="str">
        <x:v>No aplica</x:v>
      </x:c>
      <x:c r="AJ44"/>
      <x:c r="AK44" t="str">
        <x:v>Recibido</x:v>
      </x:c>
      <x:c r="AL44" t="str">
        <x:v>Completo</x:v>
      </x:c>
      <x:c r="AM44"/>
      <x:c r="AN44" t="str">
        <x:v>Logística</x:v>
      </x:c>
      <x:c r="AO44" s="10" t="str">
        <x:v>26 24 1686 6026786</x:v>
      </x:c>
      <x:c r="AP44" s="10" t="str">
        <x:v>PG43748/26</x:v>
      </x:c>
      <x:c r="AQ44"/>
      <x:c r="AR44" s="13"/>
      <x:c r="AS44" s="26" t="n">
        <x:f>IF(R44&lt;&gt;"",MAX(0,R44-AR44),"")</x:f>
        <x:v>791908.35</x:v>
      </x:c>
      <x:c r="AT44" s="13" t="n">
        <x:v>40610.2</x:v>
      </x:c>
      <x:c r="AU44" s="13"/>
      <x:c r="AV44" s="13"/>
      <x:c r="AW44" s="13"/>
      <x:c r="AX44" s="13"/>
      <x:c r="AY44" s="26" t="n">
        <x:f>IF(R44&lt;&gt;"",R44+AT44,"")</x:f>
        <x:v>832518.5499999999</x:v>
      </x:c>
      <x:c r="AZ44" s="27" t="n">
        <x:f>IF(Q44&gt;0,AY44/Q44,"")</x:f>
        <x:v>44.26406582305402</x:v>
      </x:c>
      <x:c r="BA44" s="13" t="n">
        <x:v>45</x:v>
      </x:c>
      <x:c r="BB44" s="26" t="n">
        <x:f>IF(AND(BA44&lt;&gt;"",Q44&gt;0),BA44*Q44,"")</x:f>
        <x:v>846360</x:v>
      </x:c>
      <x:c r="BC44" s="26" t="n">
        <x:f>IF(AND(BB44&lt;&gt;"",AY44&lt;&gt;""),BB44-AY44,"")</x:f>
        <x:v>13841.45000000007</x:v>
      </x:c>
      <x:c r="BD44" s="26" t="n">
        <x:f>IF(AND(BA44&lt;&gt;"",AZ44&lt;&gt;""),BA44-AZ44,"")</x:f>
        <x:v>0.7359341769459817</x:v>
      </x:c>
      <x:c r="BE44" s="28" t="n">
        <x:f>IF(BB44&gt;0,BC44/BB44,"")</x:f>
        <x:v>0.01635409282102187</x:v>
      </x:c>
      <x:c r="BF44" s="12"/>
      <x:c r="BG44" s="12"/>
      <x:c r="BH44"/>
      <x:c r="BI44" s="12"/>
      <x:c r="BJ44" s="12"/>
      <x:c r="BK44" s="28" t="n">
        <x:f>COUNTA(B44,G44,H44,I44,K44,M44,N44,Q44,R44,Y44,AE44,AF44,AI44,AK44)/14</x:f>
        <x:v>0.8571428571428571</x:v>
      </x:c>
      <x:c r="BL44" s="24" t="str">
        <x:f>IF(M44="","Falta país",IF(AE44="","Falta fracción",IF(AF44="","Falta Incoterm",IF(W44="","Falta tránsito",IF(X44="","Falta naviera",IF(AND(M44="Estados Unidos",AI44=""),"Falta inspección EE. UU.","Completo"))))))</x:f>
        <x:v>Falta fracción</x:v>
      </x:c>
      <x:c r="BM44" t="str">
        <x:v>001 Matriz</x:v>
      </x:c>
      <x:c r="BN44" t="str">
        <x:v>Porcino</x:v>
      </x:c>
      <x:c r="BO44" t="str">
        <x:v>Combo</x:v>
      </x:c>
      <x:c r="BP44"/>
      <x:c r="BQ44" s="12" t="n">
        <x:v>18808</x:v>
      </x:c>
      <x:c r="BR44" t="str">
        <x:v>Kilogramos</x:v>
      </x:c>
      <x:c r="BS44" s="12" t="n">
        <x:v>1</x:v>
      </x:c>
      <x:c r="BT44" s="13" t="n">
        <x:v>42.1</x:v>
      </x:c>
      <x:c r="BU44" s="13" t="n">
        <x:v>791908.35</x:v>
      </x:c>
    </x:row>
    <x:row r="45">
      <x:c r="A45" s="10" t="str">
        <x:v>LOG-202607-0044</x:v>
      </x:c>
      <x:c r="B45" s="11" t="n">
        <x:v>46211</x:v>
      </x:c>
      <x:c r="C45" s="24" t="n">
        <x:f>YEAR(B45)</x:f>
        <x:v>2026</x:v>
      </x:c>
      <x:c r="D45" s="24" t="str">
        <x:f>TEXT(B45,"yyyy-mm")</x:f>
        <x:v>2026-07</x:v>
      </x:c>
      <x:c r="E45" s="24" t="n">
        <x:f>WEEKNUM(B45,2)</x:f>
        <x:v>28</x:v>
      </x:c>
      <x:c r="F45" s="10" t="str">
        <x:v>ORIG-1330</x:v>
      </x:c>
      <x:c r="G45" s="10" t="str">
        <x:v>6157</x:v>
      </x:c>
      <x:c r="H45" s="10" t="str">
        <x:v>9176</x:v>
      </x:c>
      <x:c r="I45" t="str">
        <x:v>Corbata A/Vacío (Cj)</x:v>
      </x:c>
      <x:c r="J45" t="str">
        <x:v>Cerdo congelado</x:v>
      </x:c>
      <x:c r="K45" t="str">
        <x:v>003 Granja Calle 7</x:v>
      </x:c>
      <x:c r="L45" t="str">
        <x:v>Internacional</x:v>
      </x:c>
      <x:c r="M45" t="str">
        <x:v>Estados Unidos</x:v>
      </x:c>
      <x:c r="N45" t="str">
        <x:v>G &amp; C FOOD DISTRIBUTORS &amp; BROKERS INC</x:v>
      </x:c>
      <x:c r="O45" s="10" t="str">
        <x:v>571169</x:v>
      </x:c>
      <x:c r="P45" s="10" t="str">
        <x:v>5360</x:v>
      </x:c>
      <x:c r="Q45" s="12" t="n">
        <x:v>17990.43</x:v>
      </x:c>
      <x:c r="R45" s="13" t="n">
        <x:v>1172713.25</x:v>
      </x:c>
      <x:c r="S45" t="str">
        <x:v>MXN</x:v>
      </x:c>
      <x:c r="T45" s="12" t="n">
        <x:v>1</x:v>
      </x:c>
      <x:c r="U45" s="11"/>
      <x:c r="V45" s="11"/>
      <x:c r="W45" s="24" t="str">
        <x:f>IF(AND(B45&lt;&gt;"",V45&lt;&gt;""),V45-B45,"")</x:f>
      </x:c>
      <x:c r="X45"/>
      <x:c r="Y45" t="str">
        <x:v>Terrestre</x:v>
      </x:c>
      <x:c r="Z45"/>
      <x:c r="AA45"/>
      <x:c r="AB45" s="11"/>
      <x:c r="AC45" s="11"/>
      <x:c r="AD45" s="24" t="str">
        <x:f>IF(AND(AB45&lt;&gt;"",AC45&lt;&gt;""),AC45-AB45,"")</x:f>
      </x:c>
      <x:c r="AE45" s="10"/>
      <x:c r="AF45"/>
      <x:c r="AG45"/>
      <x:c r="AH45" s="25" t="str">
        <x:f>IF(AND(B45&lt;&gt;"",AG45&lt;&gt;""),B45+AG45,"")</x:f>
      </x:c>
      <x:c r="AI45"/>
      <x:c r="AJ45"/>
      <x:c r="AK45" t="str">
        <x:v>Recibido</x:v>
      </x:c>
      <x:c r="AL45" t="str">
        <x:v>Completo</x:v>
      </x:c>
      <x:c r="AM45"/>
      <x:c r="AN45" t="str">
        <x:v>Logística</x:v>
      </x:c>
      <x:c r="AO45" s="10" t="str">
        <x:v>26 24 1686 6026271</x:v>
      </x:c>
      <x:c r="AP45" s="10" t="str">
        <x:v>PG43002/26</x:v>
      </x:c>
      <x:c r="AQ45"/>
      <x:c r="AR45" s="13"/>
      <x:c r="AS45" s="26" t="n">
        <x:f>IF(R45&lt;&gt;"",MAX(0,R45-AR45),"")</x:f>
        <x:v>1172713.25</x:v>
      </x:c>
      <x:c r="AT45" s="13" t="n">
        <x:v>41460.2</x:v>
      </x:c>
      <x:c r="AU45" s="13"/>
      <x:c r="AV45" s="13"/>
      <x:c r="AW45" s="13"/>
      <x:c r="AX45" s="13"/>
      <x:c r="AY45" s="26" t="n">
        <x:f>IF(R45&lt;&gt;"",R45+AT45,"")</x:f>
        <x:v>1214173.45</x:v>
      </x:c>
      <x:c r="AZ45" s="27" t="n">
        <x:f>IF(Q45&gt;0,AY45/Q45,"")</x:f>
        <x:v>67.48996271906786</x:v>
      </x:c>
      <x:c r="BA45" s="13" t="n">
        <x:v>77</x:v>
      </x:c>
      <x:c r="BB45" s="26" t="n">
        <x:f>IF(AND(BA45&lt;&gt;"",Q45&gt;0),BA45*Q45,"")</x:f>
        <x:v>1385263.11</x:v>
      </x:c>
      <x:c r="BC45" s="26" t="n">
        <x:f>IF(AND(BB45&lt;&gt;"",AY45&lt;&gt;""),BB45-AY45,"")</x:f>
        <x:v>171089.66000000015</x:v>
      </x:c>
      <x:c r="BD45" s="26" t="n">
        <x:f>IF(AND(BA45&lt;&gt;"",AZ45&lt;&gt;""),BA45-AZ45,"")</x:f>
        <x:v>9.510037280932139</x:v>
      </x:c>
      <x:c r="BE45" s="28" t="n">
        <x:f>IF(BB45&gt;0,BC45/BB45,"")</x:f>
        <x:v>0.12350697767444348</x:v>
      </x:c>
      <x:c r="BF45" s="12"/>
      <x:c r="BG45" s="12"/>
      <x:c r="BH45"/>
      <x:c r="BI45" s="12"/>
      <x:c r="BJ45" s="12"/>
      <x:c r="BK45" s="28" t="n">
        <x:f>COUNTA(B45,G45,H45,I45,K45,M45,N45,Q45,R45,Y45,AE45,AF45,AI45,AK45)/14</x:f>
        <x:v>0.7857142857142857</x:v>
      </x:c>
      <x:c r="BL45" s="24" t="str">
        <x:f>IF(M45="","Falta país",IF(AE45="","Falta fracción",IF(AF45="","Falta Incoterm",IF(W45="","Falta tránsito",IF(X45="","Falta naviera",IF(AND(M45="Estados Unidos",AI45=""),"Falta inspección EE. UU.","Completo"))))))</x:f>
        <x:v>Falta fracción</x:v>
      </x:c>
      <x:c r="BM45" t="str">
        <x:v>001 Matriz</x:v>
      </x:c>
      <x:c r="BN45" t="str">
        <x:v>Porcino</x:v>
      </x:c>
      <x:c r="BO45" t="str">
        <x:v>Caja</x:v>
      </x:c>
      <x:c r="BP45"/>
      <x:c r="BQ45" s="12" t="n">
        <x:v>17990.43</x:v>
      </x:c>
      <x:c r="BR45" t="str">
        <x:v>Kilogramos</x:v>
      </x:c>
      <x:c r="BS45" s="12" t="n">
        <x:v>1</x:v>
      </x:c>
      <x:c r="BT45" s="13" t="n">
        <x:v>65.19</x:v>
      </x:c>
      <x:c r="BU45" s="13" t="n">
        <x:v>1172713.25</x:v>
      </x:c>
    </x:row>
    <x:row r="46">
      <x:c r="A46" s="10" t="str">
        <x:v>LOG-202607-0045</x:v>
      </x:c>
      <x:c r="B46" s="11" t="n">
        <x:v>46211</x:v>
      </x:c>
      <x:c r="C46" s="24" t="n">
        <x:f>YEAR(B46)</x:f>
        <x:v>2026</x:v>
      </x:c>
      <x:c r="D46" s="24" t="str">
        <x:f>TEXT(B46,"yyyy-mm")</x:f>
        <x:v>2026-07</x:v>
      </x:c>
      <x:c r="E46" s="24" t="n">
        <x:f>WEEKNUM(B46,2)</x:f>
        <x:v>28</x:v>
      </x:c>
      <x:c r="F46" s="10" t="str">
        <x:v>ORIG-1333</x:v>
      </x:c>
      <x:c r="G46" s="10" t="str">
        <x:v>6158</x:v>
      </x:c>
      <x:c r="H46" s="10" t="str">
        <x:v>9175</x:v>
      </x:c>
      <x:c r="I46" t="str">
        <x:v>Corbata A/Regular (Cj)</x:v>
      </x:c>
      <x:c r="J46" t="str">
        <x:v>Cerdo congelado</x:v>
      </x:c>
      <x:c r="K46" t="str">
        <x:v>003 Granja Calle 7</x:v>
      </x:c>
      <x:c r="L46" t="str">
        <x:v>Internacional</x:v>
      </x:c>
      <x:c r="M46" t="str">
        <x:v>Estados Unidos</x:v>
      </x:c>
      <x:c r="N46" t="str">
        <x:v>AJC INTERNATIONAL</x:v>
      </x:c>
      <x:c r="O46" s="10" t="str">
        <x:v>3287338</x:v>
      </x:c>
      <x:c r="P46" s="10" t="str">
        <x:v>5420</x:v>
      </x:c>
      <x:c r="Q46" s="12" t="n">
        <x:v>18370.68</x:v>
      </x:c>
      <x:c r="R46" s="13" t="n">
        <x:v>1119556.21</x:v>
      </x:c>
      <x:c r="S46" t="str">
        <x:v>MXN</x:v>
      </x:c>
      <x:c r="T46" s="12" t="n">
        <x:v>1</x:v>
      </x:c>
      <x:c r="U46" s="11"/>
      <x:c r="V46" s="11"/>
      <x:c r="W46" s="24" t="str">
        <x:f>IF(AND(B46&lt;&gt;"",V46&lt;&gt;""),V46-B46,"")</x:f>
      </x:c>
      <x:c r="X46"/>
      <x:c r="Y46" t="str">
        <x:v>Terrestre</x:v>
      </x:c>
      <x:c r="Z46"/>
      <x:c r="AA46"/>
      <x:c r="AB46" s="11"/>
      <x:c r="AC46" s="11"/>
      <x:c r="AD46" s="24" t="str">
        <x:f>IF(AND(AB46&lt;&gt;"",AC46&lt;&gt;""),AC46-AB46,"")</x:f>
      </x:c>
      <x:c r="AE46" s="10"/>
      <x:c r="AF46"/>
      <x:c r="AG46"/>
      <x:c r="AH46" s="25" t="str">
        <x:f>IF(AND(B46&lt;&gt;"",AG46&lt;&gt;""),B46+AG46,"")</x:f>
      </x:c>
      <x:c r="AI46"/>
      <x:c r="AJ46"/>
      <x:c r="AK46" t="str">
        <x:v>Recibido</x:v>
      </x:c>
      <x:c r="AL46" t="str">
        <x:v>Completo</x:v>
      </x:c>
      <x:c r="AM46"/>
      <x:c r="AN46" t="str">
        <x:v>Logística</x:v>
      </x:c>
      <x:c r="AO46" s="10" t="str">
        <x:v>26 24 1686 6026446</x:v>
      </x:c>
      <x:c r="AP46" s="10" t="str">
        <x:v>PG43157/26</x:v>
      </x:c>
      <x:c r="AQ46"/>
      <x:c r="AR46" s="13"/>
      <x:c r="AS46" s="26" t="n">
        <x:f>IF(R46&lt;&gt;"",MAX(0,R46-AR46),"")</x:f>
        <x:v>1119556.21</x:v>
      </x:c>
      <x:c r="AT46" s="13" t="n">
        <x:v>42580.2</x:v>
      </x:c>
      <x:c r="AU46" s="13"/>
      <x:c r="AV46" s="13"/>
      <x:c r="AW46" s="13"/>
      <x:c r="AX46" s="13"/>
      <x:c r="AY46" s="26" t="n">
        <x:f>IF(R46&lt;&gt;"",R46+AT46,"")</x:f>
        <x:v>1162136.41</x:v>
      </x:c>
      <x:c r="AZ46" s="27" t="n">
        <x:f>IF(Q46&gt;0,AY46/Q46,"")</x:f>
        <x:v>63.260391558722915</x:v>
      </x:c>
      <x:c r="BA46" s="13" t="n">
        <x:v>67</x:v>
      </x:c>
      <x:c r="BB46" s="26" t="n">
        <x:f>IF(AND(BA46&lt;&gt;"",Q46&gt;0),BA46*Q46,"")</x:f>
        <x:v>1230835.56</x:v>
      </x:c>
      <x:c r="BC46" s="26" t="n">
        <x:f>IF(AND(BB46&lt;&gt;"",AY46&lt;&gt;""),BB46-AY46,"")</x:f>
        <x:v>68699.15000000014</x:v>
      </x:c>
      <x:c r="BD46" s="26" t="n">
        <x:f>IF(AND(BA46&lt;&gt;"",AZ46&lt;&gt;""),BA46-AZ46,"")</x:f>
        <x:v>3.7396084412770847</x:v>
      </x:c>
      <x:c r="BE46" s="28" t="n">
        <x:f>IF(BB46&gt;0,BC46/BB46,"")</x:f>
        <x:v>0.05581505136234457</x:v>
      </x:c>
      <x:c r="BF46" s="12"/>
      <x:c r="BG46" s="12"/>
      <x:c r="BH46"/>
      <x:c r="BI46" s="12"/>
      <x:c r="BJ46" s="12"/>
      <x:c r="BK46" s="28" t="n">
        <x:f>COUNTA(B46,G46,H46,I46,K46,M46,N46,Q46,R46,Y46,AE46,AF46,AI46,AK46)/14</x:f>
        <x:v>0.7857142857142857</x:v>
      </x:c>
      <x:c r="BL46" s="24" t="str">
        <x:f>IF(M46="","Falta país",IF(AE46="","Falta fracción",IF(AF46="","Falta Incoterm",IF(W46="","Falta tránsito",IF(X46="","Falta naviera",IF(AND(M46="Estados Unidos",AI46=""),"Falta inspección EE. UU.","Completo"))))))</x:f>
        <x:v>Falta fracción</x:v>
      </x:c>
      <x:c r="BM46" t="str">
        <x:v>001 Matriz</x:v>
      </x:c>
      <x:c r="BN46" t="str">
        <x:v>Porcino</x:v>
      </x:c>
      <x:c r="BO46" t="str">
        <x:v>Caja</x:v>
      </x:c>
      <x:c r="BP46"/>
      <x:c r="BQ46" s="12" t="n">
        <x:v>18370.68</x:v>
      </x:c>
      <x:c r="BR46" t="str">
        <x:v>Kilogramos</x:v>
      </x:c>
      <x:c r="BS46" s="12" t="n">
        <x:v>1</x:v>
      </x:c>
      <x:c r="BT46" s="13" t="n">
        <x:v>60.94</x:v>
      </x:c>
      <x:c r="BU46" s="13" t="n">
        <x:v>1119556.21</x:v>
      </x:c>
    </x:row>
    <x:row r="47">
      <x:c r="A47" s="10" t="str">
        <x:v>LOG-202607-0046</x:v>
      </x:c>
      <x:c r="B47" s="11" t="n">
        <x:v>46210</x:v>
      </x:c>
      <x:c r="C47" s="24" t="n">
        <x:f>YEAR(B47)</x:f>
        <x:v>2026</x:v>
      </x:c>
      <x:c r="D47" s="24" t="str">
        <x:f>TEXT(B47,"yyyy-mm")</x:f>
        <x:v>2026-07</x:v>
      </x:c>
      <x:c r="E47" s="24" t="n">
        <x:f>WEEKNUM(B47,2)</x:f>
        <x:v>28</x:v>
      </x:c>
      <x:c r="F47" s="10" t="str">
        <x:v>ORIG-1391</x:v>
      </x:c>
      <x:c r="G47" s="10" t="str">
        <x:v>6160</x:v>
      </x:c>
      <x:c r="H47" s="10" t="str">
        <x:v>9270</x:v>
      </x:c>
      <x:c r="I47" t="str">
        <x:v>Pierna de Cerdo (Cb)</x:v>
      </x:c>
      <x:c r="J47" t="str">
        <x:v>Cerdo congelado</x:v>
      </x:c>
      <x:c r="K47" t="str">
        <x:v>003 Granja Calle 7</x:v>
      </x:c>
      <x:c r="L47" t="str">
        <x:v>Internacional</x:v>
      </x:c>
      <x:c r="M47" t="str">
        <x:v>Canadá</x:v>
      </x:c>
      <x:c r="N47" t="str">
        <x:v>CANADA PACKERS INC</x:v>
      </x:c>
      <x:c r="O47" s="10" t="str">
        <x:v>9601925528</x:v>
      </x:c>
      <x:c r="P47" s="10" t="str">
        <x:v>5365</x:v>
      </x:c>
      <x:c r="Q47" s="12" t="n">
        <x:v>18926.21</x:v>
      </x:c>
      <x:c r="R47" s="13" t="n">
        <x:v>771083.39</x:v>
      </x:c>
      <x:c r="S47" t="str">
        <x:v>MXN</x:v>
      </x:c>
      <x:c r="T47" s="12" t="n">
        <x:v>1</x:v>
      </x:c>
      <x:c r="U47" s="11"/>
      <x:c r="V47" s="11"/>
      <x:c r="W47" s="24" t="str">
        <x:f>IF(AND(B47&lt;&gt;"",V47&lt;&gt;""),V47-B47,"")</x:f>
      </x:c>
      <x:c r="X47"/>
      <x:c r="Y47" t="str">
        <x:v>Terrestre</x:v>
      </x:c>
      <x:c r="Z47"/>
      <x:c r="AA47"/>
      <x:c r="AB47" s="11"/>
      <x:c r="AC47" s="11"/>
      <x:c r="AD47" s="24" t="str">
        <x:f>IF(AND(AB47&lt;&gt;"",AC47&lt;&gt;""),AC47-AB47,"")</x:f>
      </x:c>
      <x:c r="AE47" s="10"/>
      <x:c r="AF47"/>
      <x:c r="AG47"/>
      <x:c r="AH47" s="25" t="str">
        <x:f>IF(AND(B47&lt;&gt;"",AG47&lt;&gt;""),B47+AG47,"")</x:f>
      </x:c>
      <x:c r="AI47" t="str">
        <x:v>No aplica</x:v>
      </x:c>
      <x:c r="AJ47"/>
      <x:c r="AK47" t="str">
        <x:v>Recibido</x:v>
      </x:c>
      <x:c r="AL47" t="str">
        <x:v>Completo</x:v>
      </x:c>
      <x:c r="AM47"/>
      <x:c r="AN47" t="str">
        <x:v>Logística</x:v>
      </x:c>
      <x:c r="AO47" s="10" t="str">
        <x:v>26 24 1686 6026604</x:v>
      </x:c>
      <x:c r="AP47" s="10" t="str">
        <x:v>PG43551/26</x:v>
      </x:c>
      <x:c r="AQ47"/>
      <x:c r="AR47" s="13"/>
      <x:c r="AS47" s="26" t="n">
        <x:f>IF(R47&lt;&gt;"",MAX(0,R47-AR47),"")</x:f>
        <x:v>771083.39</x:v>
      </x:c>
      <x:c r="AT47" s="13" t="n">
        <x:v>40610.2</x:v>
      </x:c>
      <x:c r="AU47" s="13"/>
      <x:c r="AV47" s="13"/>
      <x:c r="AW47" s="13"/>
      <x:c r="AX47" s="13"/>
      <x:c r="AY47" s="26" t="n">
        <x:f>IF(R47&lt;&gt;"",R47+AT47,"")</x:f>
        <x:v>811693.59</x:v>
      </x:c>
      <x:c r="AZ47" s="27" t="n">
        <x:f>IF(Q47&gt;0,AY47/Q47,"")</x:f>
        <x:v>42.88727589940088</x:v>
      </x:c>
      <x:c r="BA47" s="13" t="n">
        <x:v>45</x:v>
      </x:c>
      <x:c r="BB47" s="26" t="n">
        <x:f>IF(AND(BA47&lt;&gt;"",Q47&gt;0),BA47*Q47,"")</x:f>
        <x:v>851679.45</x:v>
      </x:c>
      <x:c r="BC47" s="26" t="n">
        <x:f>IF(AND(BB47&lt;&gt;"",AY47&lt;&gt;""),BB47-AY47,"")</x:f>
        <x:v>39985.859999999986</x:v>
      </x:c>
      <x:c r="BD47" s="26" t="n">
        <x:f>IF(AND(BA47&lt;&gt;"",AZ47&lt;&gt;""),BA47-AZ47,"")</x:f>
        <x:v>2.1127241005991166</x:v>
      </x:c>
      <x:c r="BE47" s="28" t="n">
        <x:f>IF(BB47&gt;0,BC47/BB47,"")</x:f>
        <x:v>0.04694942445775813</x:v>
      </x:c>
      <x:c r="BF47" s="12"/>
      <x:c r="BG47" s="12"/>
      <x:c r="BH47"/>
      <x:c r="BI47" s="12"/>
      <x:c r="BJ47" s="12"/>
      <x:c r="BK47" s="28" t="n">
        <x:f>COUNTA(B47,G47,H47,I47,K47,M47,N47,Q47,R47,Y47,AE47,AF47,AI47,AK47)/14</x:f>
        <x:v>0.8571428571428571</x:v>
      </x:c>
      <x:c r="BL47" s="24" t="str">
        <x:f>IF(M47="","Falta país",IF(AE47="","Falta fracción",IF(AF47="","Falta Incoterm",IF(W47="","Falta tránsito",IF(X47="","Falta naviera",IF(AND(M47="Estados Unidos",AI47=""),"Falta inspección EE. UU.","Completo"))))))</x:f>
        <x:v>Falta fracción</x:v>
      </x:c>
      <x:c r="BM47" t="str">
        <x:v>001 Matriz</x:v>
      </x:c>
      <x:c r="BN47" t="str">
        <x:v>Porcino</x:v>
      </x:c>
      <x:c r="BO47" t="str">
        <x:v>Combo</x:v>
      </x:c>
      <x:c r="BP47"/>
      <x:c r="BQ47" s="12" t="n">
        <x:v>18926.21</x:v>
      </x:c>
      <x:c r="BR47" t="str">
        <x:v>Kilogramos</x:v>
      </x:c>
      <x:c r="BS47" s="12" t="n">
        <x:v>1</x:v>
      </x:c>
      <x:c r="BT47" s="13" t="n">
        <x:v>40.74</x:v>
      </x:c>
      <x:c r="BU47" s="13" t="n">
        <x:v>771083.39</x:v>
      </x:c>
    </x:row>
    <x:row r="48">
      <x:c r="A48" s="10" t="str">
        <x:v>LOG-202607-0047</x:v>
      </x:c>
      <x:c r="B48" s="11" t="n">
        <x:v>46209</x:v>
      </x:c>
      <x:c r="C48" s="24" t="n">
        <x:f>YEAR(B48)</x:f>
        <x:v>2026</x:v>
      </x:c>
      <x:c r="D48" s="24" t="str">
        <x:f>TEXT(B48,"yyyy-mm")</x:f>
        <x:v>2026-07</x:v>
      </x:c>
      <x:c r="E48" s="24" t="n">
        <x:f>WEEKNUM(B48,2)</x:f>
        <x:v>28</x:v>
      </x:c>
      <x:c r="F48" s="10" t="str">
        <x:v>ORIG-1459</x:v>
      </x:c>
      <x:c r="G48" s="10" t="str">
        <x:v>6154</x:v>
      </x:c>
      <x:c r="H48" s="10" t="str">
        <x:v>9265</x:v>
      </x:c>
      <x:c r="I48" t="str">
        <x:v>Picnic (Cb)</x:v>
      </x:c>
      <x:c r="J48" t="str">
        <x:v>Cerdo congelado</x:v>
      </x:c>
      <x:c r="K48" t="str">
        <x:v>003 Granja Calle 7</x:v>
      </x:c>
      <x:c r="L48" t="str">
        <x:v>Internacional</x:v>
      </x:c>
      <x:c r="M48" t="str">
        <x:v>Estados Unidos</x:v>
      </x:c>
      <x:c r="N48" t="str">
        <x:v>QUIRCH FOODS</x:v>
      </x:c>
      <x:c r="O48" s="10" t="str">
        <x:v>238081</x:v>
      </x:c>
      <x:c r="P48" s="10" t="str">
        <x:v>5412</x:v>
      </x:c>
      <x:c r="Q48" s="12" t="n">
        <x:v>19537.33</x:v>
      </x:c>
      <x:c r="R48" s="13" t="n">
        <x:v>873152.48</x:v>
      </x:c>
      <x:c r="S48" t="str">
        <x:v>MXN</x:v>
      </x:c>
      <x:c r="T48" s="12" t="n">
        <x:v>1</x:v>
      </x:c>
      <x:c r="U48" s="11"/>
      <x:c r="V48" s="11"/>
      <x:c r="W48" s="24" t="str">
        <x:f>IF(AND(B48&lt;&gt;"",V48&lt;&gt;""),V48-B48,"")</x:f>
      </x:c>
      <x:c r="X48"/>
      <x:c r="Y48" t="str">
        <x:v>Terrestre</x:v>
      </x:c>
      <x:c r="Z48"/>
      <x:c r="AA48"/>
      <x:c r="AB48" s="11"/>
      <x:c r="AC48" s="11"/>
      <x:c r="AD48" s="24" t="str">
        <x:f>IF(AND(AB48&lt;&gt;"",AC48&lt;&gt;""),AC48-AB48,"")</x:f>
      </x:c>
      <x:c r="AE48" s="10"/>
      <x:c r="AF48"/>
      <x:c r="AG48"/>
      <x:c r="AH48" s="25" t="str">
        <x:f>IF(AND(B48&lt;&gt;"",AG48&lt;&gt;""),B48+AG48,"")</x:f>
      </x:c>
      <x:c r="AI48"/>
      <x:c r="AJ48"/>
      <x:c r="AK48" t="str">
        <x:v>Recibido</x:v>
      </x:c>
      <x:c r="AL48" t="str">
        <x:v>Completo</x:v>
      </x:c>
      <x:c r="AM48"/>
      <x:c r="AN48" t="str">
        <x:v>Logística</x:v>
      </x:c>
      <x:c r="AO48" s="10" t="str">
        <x:v>26 24 1686 6025989</x:v>
      </x:c>
      <x:c r="AP48" s="10" t="str">
        <x:v>PG42243/26</x:v>
      </x:c>
      <x:c r="AQ48"/>
      <x:c r="AR48" s="13"/>
      <x:c r="AS48" s="26" t="n">
        <x:f>IF(R48&lt;&gt;"",MAX(0,R48-AR48),"")</x:f>
        <x:v>873152.48</x:v>
      </x:c>
      <x:c r="AT48" s="13" t="n">
        <x:v>45110.2</x:v>
      </x:c>
      <x:c r="AU48" s="13"/>
      <x:c r="AV48" s="13"/>
      <x:c r="AW48" s="13"/>
      <x:c r="AX48" s="13"/>
      <x:c r="AY48" s="26" t="n">
        <x:f>IF(R48&lt;&gt;"",R48+AT48,"")</x:f>
        <x:v>918262.6799999999</x:v>
      </x:c>
      <x:c r="AZ48" s="27" t="n">
        <x:f>IF(Q48&gt;0,AY48/Q48,"")</x:f>
        <x:v>47.00041817382415</x:v>
      </x:c>
      <x:c r="BA48" s="13" t="n">
        <x:v>56</x:v>
      </x:c>
      <x:c r="BB48" s="26" t="n">
        <x:f>IF(AND(BA48&lt;&gt;"",Q48&gt;0),BA48*Q48,"")</x:f>
        <x:v>1094090.48</x:v>
      </x:c>
      <x:c r="BC48" s="26" t="n">
        <x:f>IF(AND(BB48&lt;&gt;"",AY48&lt;&gt;""),BB48-AY48,"")</x:f>
        <x:v>175827.80000000005</x:v>
      </x:c>
      <x:c r="BD48" s="26" t="n">
        <x:f>IF(AND(BA48&lt;&gt;"",AZ48&lt;&gt;""),BA48-AZ48,"")</x:f>
        <x:v>8.999581826175849</x:v>
      </x:c>
      <x:c r="BE48" s="28" t="n">
        <x:f>IF(BB48&gt;0,BC48/BB48,"")</x:f>
        <x:v>0.1607068183245686</x:v>
      </x:c>
      <x:c r="BF48" s="12"/>
      <x:c r="BG48" s="12"/>
      <x:c r="BH48"/>
      <x:c r="BI48" s="12"/>
      <x:c r="BJ48" s="12"/>
      <x:c r="BK48" s="28" t="n">
        <x:f>COUNTA(B48,G48,H48,I48,K48,M48,N48,Q48,R48,Y48,AE48,AF48,AI48,AK48)/14</x:f>
        <x:v>0.7857142857142857</x:v>
      </x:c>
      <x:c r="BL48" s="24" t="str">
        <x:f>IF(M48="","Falta país",IF(AE48="","Falta fracción",IF(AF48="","Falta Incoterm",IF(W48="","Falta tránsito",IF(X48="","Falta naviera",IF(AND(M48="Estados Unidos",AI48=""),"Falta inspección EE. UU.","Completo"))))))</x:f>
        <x:v>Falta fracción</x:v>
      </x:c>
      <x:c r="BM48" t="str">
        <x:v>001 Matriz</x:v>
      </x:c>
      <x:c r="BN48" t="str">
        <x:v>Porcino</x:v>
      </x:c>
      <x:c r="BO48" t="str">
        <x:v>Combo</x:v>
      </x:c>
      <x:c r="BP48"/>
      <x:c r="BQ48" s="12" t="n">
        <x:v>19537.33</x:v>
      </x:c>
      <x:c r="BR48" t="str">
        <x:v>Kilogramos</x:v>
      </x:c>
      <x:c r="BS48" s="12" t="n">
        <x:v>1</x:v>
      </x:c>
      <x:c r="BT48" s="13" t="n">
        <x:v>44.69</x:v>
      </x:c>
      <x:c r="BU48" s="13" t="n">
        <x:v>873152.48</x:v>
      </x:c>
    </x:row>
    <x:row r="49">
      <x:c r="A49" s="10" t="str">
        <x:v>LOG-202607-0048</x:v>
      </x:c>
      <x:c r="B49" s="11" t="n">
        <x:v>46206</x:v>
      </x:c>
      <x:c r="C49" s="24" t="n">
        <x:f>YEAR(B49)</x:f>
        <x:v>2026</x:v>
      </x:c>
      <x:c r="D49" s="24" t="str">
        <x:f>TEXT(B49,"yyyy-mm")</x:f>
        <x:v>2026-07</x:v>
      </x:c>
      <x:c r="E49" s="24" t="n">
        <x:f>WEEKNUM(B49,2)</x:f>
        <x:v>27</x:v>
      </x:c>
      <x:c r="F49" s="10" t="str">
        <x:v>ORIG-1584</x:v>
      </x:c>
      <x:c r="G49" s="10" t="str">
        <x:v>6156</x:v>
      </x:c>
      <x:c r="H49" s="10" t="str">
        <x:v>9270</x:v>
      </x:c>
      <x:c r="I49" t="str">
        <x:v>Pierna de Cerdo (Cb)</x:v>
      </x:c>
      <x:c r="J49" t="str">
        <x:v>Cerdo congelado</x:v>
      </x:c>
      <x:c r="K49" t="str">
        <x:v>003 Granja Calle 7</x:v>
      </x:c>
      <x:c r="L49" t="str">
        <x:v>Internacional</x:v>
      </x:c>
      <x:c r="M49" t="str">
        <x:v>Canadá</x:v>
      </x:c>
      <x:c r="N49" t="str">
        <x:v>CANADA PACKERS INC</x:v>
      </x:c>
      <x:c r="O49" s="10" t="str">
        <x:v>9601923037</x:v>
      </x:c>
      <x:c r="P49" s="10" t="str">
        <x:v>5129</x:v>
      </x:c>
      <x:c r="Q49" s="12" t="n">
        <x:v>18969.21</x:v>
      </x:c>
      <x:c r="R49" s="13" t="n">
        <x:v>754073.81</x:v>
      </x:c>
      <x:c r="S49" t="str">
        <x:v>MXN</x:v>
      </x:c>
      <x:c r="T49" s="12" t="n">
        <x:v>1</x:v>
      </x:c>
      <x:c r="U49" s="11"/>
      <x:c r="V49" s="11"/>
      <x:c r="W49" s="24" t="str">
        <x:f>IF(AND(B49&lt;&gt;"",V49&lt;&gt;""),V49-B49,"")</x:f>
      </x:c>
      <x:c r="X49"/>
      <x:c r="Y49" t="str">
        <x:v>Terrestre</x:v>
      </x:c>
      <x:c r="Z49"/>
      <x:c r="AA49"/>
      <x:c r="AB49" s="11"/>
      <x:c r="AC49" s="11"/>
      <x:c r="AD49" s="24" t="str">
        <x:f>IF(AND(AB49&lt;&gt;"",AC49&lt;&gt;""),AC49-AB49,"")</x:f>
      </x:c>
      <x:c r="AE49" s="10"/>
      <x:c r="AF49"/>
      <x:c r="AG49"/>
      <x:c r="AH49" s="25" t="str">
        <x:f>IF(AND(B49&lt;&gt;"",AG49&lt;&gt;""),B49+AG49,"")</x:f>
      </x:c>
      <x:c r="AI49" t="str">
        <x:v>No aplica</x:v>
      </x:c>
      <x:c r="AJ49"/>
      <x:c r="AK49" t="str">
        <x:v>Recibido</x:v>
      </x:c>
      <x:c r="AL49" t="str">
        <x:v>Completo</x:v>
      </x:c>
      <x:c r="AM49"/>
      <x:c r="AN49" t="str">
        <x:v>Logística</x:v>
      </x:c>
      <x:c r="AO49" s="10" t="str">
        <x:v>26 24 1686 6026027</x:v>
      </x:c>
      <x:c r="AP49" s="10" t="str">
        <x:v>PG42640/26</x:v>
      </x:c>
      <x:c r="AQ49"/>
      <x:c r="AR49" s="13"/>
      <x:c r="AS49" s="26" t="n">
        <x:f>IF(R49&lt;&gt;"",MAX(0,R49-AR49),"")</x:f>
        <x:v>754073.81</x:v>
      </x:c>
      <x:c r="AT49" s="13" t="n">
        <x:v>45380.2</x:v>
      </x:c>
      <x:c r="AU49" s="13"/>
      <x:c r="AV49" s="13"/>
      <x:c r="AW49" s="13"/>
      <x:c r="AX49" s="13"/>
      <x:c r="AY49" s="26" t="n">
        <x:f>IF(R49&lt;&gt;"",R49+AT49,"")</x:f>
        <x:v>799454.01</x:v>
      </x:c>
      <x:c r="AZ49" s="27" t="n">
        <x:f>IF(Q49&gt;0,AY49/Q49,"")</x:f>
        <x:v>42.14482363788476</x:v>
      </x:c>
      <x:c r="BA49" s="13" t="n">
        <x:v>45</x:v>
      </x:c>
      <x:c r="BB49" s="26" t="n">
        <x:f>IF(AND(BA49&lt;&gt;"",Q49&gt;0),BA49*Q49,"")</x:f>
        <x:v>853614.45</x:v>
      </x:c>
      <x:c r="BC49" s="26" t="n">
        <x:f>IF(AND(BB49&lt;&gt;"",AY49&lt;&gt;""),BB49-AY49,"")</x:f>
        <x:v>54160.439999999944</x:v>
      </x:c>
      <x:c r="BD49" s="26" t="n">
        <x:f>IF(AND(BA49&lt;&gt;"",AZ49&lt;&gt;""),BA49-AZ49,"")</x:f>
        <x:v>2.8551763621152375</x:v>
      </x:c>
      <x:c r="BE49" s="28" t="n">
        <x:f>IF(BB49&gt;0,BC49/BB49,"")</x:f>
        <x:v>0.06344836360256079</x:v>
      </x:c>
      <x:c r="BF49" s="12"/>
      <x:c r="BG49" s="12"/>
      <x:c r="BH49"/>
      <x:c r="BI49" s="12"/>
      <x:c r="BJ49" s="12"/>
      <x:c r="BK49" s="28" t="n">
        <x:f>COUNTA(B49,G49,H49,I49,K49,M49,N49,Q49,R49,Y49,AE49,AF49,AI49,AK49)/14</x:f>
        <x:v>0.8571428571428571</x:v>
      </x:c>
      <x:c r="BL49" s="24" t="str">
        <x:f>IF(M49="","Falta país",IF(AE49="","Falta fracción",IF(AF49="","Falta Incoterm",IF(W49="","Falta tránsito",IF(X49="","Falta naviera",IF(AND(M49="Estados Unidos",AI49=""),"Falta inspección EE. UU.","Completo"))))))</x:f>
        <x:v>Falta fracción</x:v>
      </x:c>
      <x:c r="BM49" t="str">
        <x:v>001 Matriz</x:v>
      </x:c>
      <x:c r="BN49" t="str">
        <x:v>Porcino</x:v>
      </x:c>
      <x:c r="BO49" t="str">
        <x:v>Combo</x:v>
      </x:c>
      <x:c r="BP49"/>
      <x:c r="BQ49" s="12" t="n">
        <x:v>18969.21</x:v>
      </x:c>
      <x:c r="BR49" t="str">
        <x:v>Kilogramos</x:v>
      </x:c>
      <x:c r="BS49" s="12" t="n">
        <x:v>1</x:v>
      </x:c>
      <x:c r="BT49" s="13" t="n">
        <x:v>39.75</x:v>
      </x:c>
      <x:c r="BU49" s="13" t="n">
        <x:v>754073.81</x:v>
      </x:c>
    </x:row>
    <x:row r="50">
      <x:c r="A50" s="10" t="str">
        <x:v>LOG-202607-0049</x:v>
      </x:c>
      <x:c r="B50" s="11" t="n">
        <x:v>46204</x:v>
      </x:c>
      <x:c r="C50" s="24" t="n">
        <x:f>YEAR(B50)</x:f>
        <x:v>2026</x:v>
      </x:c>
      <x:c r="D50" s="24" t="str">
        <x:f>TEXT(B50,"yyyy-mm")</x:f>
        <x:v>2026-07</x:v>
      </x:c>
      <x:c r="E50" s="24" t="n">
        <x:f>WEEKNUM(B50,2)</x:f>
        <x:v>27</x:v>
      </x:c>
      <x:c r="F50" s="10" t="str">
        <x:v>ORIG-1708</x:v>
      </x:c>
      <x:c r="G50" s="10" t="str">
        <x:v>6153</x:v>
      </x:c>
      <x:c r="H50" s="10" t="str">
        <x:v>9128</x:v>
      </x:c>
      <x:c r="I50" t="str">
        <x:v>Buche Crudo Mariposa (Cj)</x:v>
      </x:c>
      <x:c r="J50" t="str">
        <x:v>Cerdo congelado</x:v>
      </x:c>
      <x:c r="K50" t="str">
        <x:v>003 Granja Calle 7</x:v>
      </x:c>
      <x:c r="L50" t="str">
        <x:v>Internacional</x:v>
      </x:c>
      <x:c r="M50"/>
      <x:c r="N50" t="str">
        <x:v>ESS FOOD</x:v>
      </x:c>
      <x:c r="O50" s="10" t="str">
        <x:v>3900465924</x:v>
      </x:c>
      <x:c r="P50" s="10" t="str">
        <x:v>5275</x:v>
      </x:c>
      <x:c r="Q50" s="12" t="n">
        <x:v>25000</x:v>
      </x:c>
      <x:c r="R50" s="13" t="n">
        <x:v>1222851</x:v>
      </x:c>
      <x:c r="S50" t="str">
        <x:v>MXN</x:v>
      </x:c>
      <x:c r="T50" s="12" t="n">
        <x:v>1</x:v>
      </x:c>
      <x:c r="U50" s="11"/>
      <x:c r="V50" s="11"/>
      <x:c r="W50" s="24" t="str">
        <x:f>IF(AND(B50&lt;&gt;"",V50&lt;&gt;""),V50-B50,"")</x:f>
      </x:c>
      <x:c r="X50"/>
      <x:c r="Y50"/>
      <x:c r="Z50"/>
      <x:c r="AA50"/>
      <x:c r="AB50" s="11"/>
      <x:c r="AC50" s="11"/>
      <x:c r="AD50" s="24" t="str">
        <x:f>IF(AND(AB50&lt;&gt;"",AC50&lt;&gt;""),AC50-AB50,"")</x:f>
      </x:c>
      <x:c r="AE50" s="10"/>
      <x:c r="AF50"/>
      <x:c r="AG50"/>
      <x:c r="AH50" s="25" t="str">
        <x:f>IF(AND(B50&lt;&gt;"",AG50&lt;&gt;""),B50+AG50,"")</x:f>
      </x:c>
      <x:c r="AI50"/>
      <x:c r="AJ50"/>
      <x:c r="AK50" t="str">
        <x:v>Recibido</x:v>
      </x:c>
      <x:c r="AL50"/>
      <x:c r="AM50"/>
      <x:c r="AN50"/>
      <x:c r="AO50" s="10"/>
      <x:c r="AP50" s="10"/>
      <x:c r="AQ50"/>
      <x:c r="AR50" s="13"/>
      <x:c r="AS50" s="26" t="n">
        <x:f>IF(R50&lt;&gt;"",MAX(0,R50-AR50),"")</x:f>
        <x:v>1222851</x:v>
      </x:c>
      <x:c r="AT50" s="13"/>
      <x:c r="AU50" s="13"/>
      <x:c r="AV50" s="13"/>
      <x:c r="AW50" s="13"/>
      <x:c r="AX50" s="13"/>
      <x:c r="AY50" s="26" t="n">
        <x:f>IF(R50&lt;&gt;"",R50+AT50,"")</x:f>
        <x:v>1222851</x:v>
      </x:c>
      <x:c r="AZ50" s="27" t="n">
        <x:f>IF(Q50&gt;0,AY50/Q50,"")</x:f>
        <x:v>48.91404</x:v>
      </x:c>
      <x:c r="BA50" s="13"/>
      <x:c r="BB50" s="26" t="str">
        <x:f>IF(AND(BA50&lt;&gt;"",Q50&gt;0),BA50*Q50,"")</x:f>
      </x:c>
      <x:c r="BC50" s="26" t="str">
        <x:f>IF(AND(BB50&lt;&gt;"",AY50&lt;&gt;""),BB50-AY50,"")</x:f>
      </x:c>
      <x:c r="BD50" s="26" t="str">
        <x:f>IF(AND(BA50&lt;&gt;"",AZ50&lt;&gt;""),BA50-AZ50,"")</x:f>
      </x:c>
      <x:c r="BE50" s="28" t="str">
        <x:f>IF(BB50&gt;0,BC50/BB50,"")</x:f>
      </x:c>
      <x:c r="BF50" s="12"/>
      <x:c r="BG50" s="12"/>
      <x:c r="BH50"/>
      <x:c r="BI50" s="12"/>
      <x:c r="BJ50" s="12"/>
      <x:c r="BK50" s="28" t="n">
        <x:f>COUNTA(B50,G50,H50,I50,K50,M50,N50,Q50,R50,Y50,AE50,AF50,AI50,AK50)/14</x:f>
        <x:v>0.6428571428571429</x:v>
      </x:c>
      <x:c r="BL50" s="24" t="str">
        <x:f>IF(M50="","Falta país",IF(AE50="","Falta fracción",IF(AF50="","Falta Incoterm",IF(W50="","Falta tránsito",IF(X50="","Falta naviera",IF(AND(M50="Estados Unidos",AI50=""),"Falta inspección EE. UU.","Completo"))))))</x:f>
        <x:v>Falta país</x:v>
      </x:c>
      <x:c r="BM50" t="str">
        <x:v>001 Matriz</x:v>
      </x:c>
      <x:c r="BN50" t="str">
        <x:v>Porcino</x:v>
      </x:c>
      <x:c r="BO50" t="str">
        <x:v>Caja</x:v>
      </x:c>
      <x:c r="BP50"/>
      <x:c r="BQ50" s="12" t="n">
        <x:v>25000</x:v>
      </x:c>
      <x:c r="BR50" t="str">
        <x:v>Kilogramos</x:v>
      </x:c>
      <x:c r="BS50" s="12" t="n">
        <x:v>1</x:v>
      </x:c>
      <x:c r="BT50" s="13" t="n">
        <x:v>48.91</x:v>
      </x:c>
      <x:c r="BU50" s="13" t="n">
        <x:v>1222851</x:v>
      </x:c>
    </x:row>
    <x:row r="51">
      <x:c r="A51" s="10" t="str">
        <x:v>LOG-202607-0050</x:v>
      </x:c>
      <x:c r="B51" s="11" t="n">
        <x:v>46204</x:v>
      </x:c>
      <x:c r="C51" s="24" t="n">
        <x:f>YEAR(B51)</x:f>
        <x:v>2026</x:v>
      </x:c>
      <x:c r="D51" s="24" t="str">
        <x:f>TEXT(B51,"yyyy-mm")</x:f>
        <x:v>2026-07</x:v>
      </x:c>
      <x:c r="E51" s="24" t="n">
        <x:f>WEEKNUM(B51,2)</x:f>
        <x:v>27</x:v>
      </x:c>
      <x:c r="F51" s="10" t="str">
        <x:v>ORIG-1710</x:v>
      </x:c>
      <x:c r="G51" s="10" t="str">
        <x:v>6152</x:v>
      </x:c>
      <x:c r="H51" s="10" t="str">
        <x:v>9176</x:v>
      </x:c>
      <x:c r="I51" t="str">
        <x:v>Corbata A/Vacío (Cj)</x:v>
      </x:c>
      <x:c r="J51" t="str">
        <x:v>Cerdo congelado</x:v>
      </x:c>
      <x:c r="K51" t="str">
        <x:v>003 Granja Calle 7</x:v>
      </x:c>
      <x:c r="L51" t="str">
        <x:v>Internacional</x:v>
      </x:c>
      <x:c r="M51" t="str">
        <x:v>Estados Unidos</x:v>
      </x:c>
      <x:c r="N51" t="str">
        <x:v>G &amp; C FOOD DISTRIBUTORS &amp; BROKERS INC</x:v>
      </x:c>
      <x:c r="O51" s="10" t="str">
        <x:v>569531</x:v>
      </x:c>
      <x:c r="P51" s="10" t="str">
        <x:v>5359</x:v>
      </x:c>
      <x:c r="Q51" s="12" t="n">
        <x:v>18062.23</x:v>
      </x:c>
      <x:c r="R51" s="13" t="n">
        <x:v>1175610.55</x:v>
      </x:c>
      <x:c r="S51" t="str">
        <x:v>MXN</x:v>
      </x:c>
      <x:c r="T51" s="12" t="n">
        <x:v>1</x:v>
      </x:c>
      <x:c r="U51" s="11"/>
      <x:c r="V51" s="11"/>
      <x:c r="W51" s="24" t="str">
        <x:f>IF(AND(B51&lt;&gt;"",V51&lt;&gt;""),V51-B51,"")</x:f>
      </x:c>
      <x:c r="X51"/>
      <x:c r="Y51" t="str">
        <x:v>Terrestre</x:v>
      </x:c>
      <x:c r="Z51"/>
      <x:c r="AA51"/>
      <x:c r="AB51" s="11"/>
      <x:c r="AC51" s="11"/>
      <x:c r="AD51" s="24" t="str">
        <x:f>IF(AND(AB51&lt;&gt;"",AC51&lt;&gt;""),AC51-AB51,"")</x:f>
      </x:c>
      <x:c r="AE51" s="10" t="str">
        <x:v>0203.29.99</x:v>
      </x:c>
      <x:c r="AF51"/>
      <x:c r="AG51"/>
      <x:c r="AH51" s="25" t="str">
        <x:f>IF(AND(B51&lt;&gt;"",AG51&lt;&gt;""),B51+AG51,"")</x:f>
      </x:c>
      <x:c r="AI51"/>
      <x:c r="AJ51"/>
      <x:c r="AK51" t="str">
        <x:v>Recibido</x:v>
      </x:c>
      <x:c r="AL51" t="str">
        <x:v>Completo</x:v>
      </x:c>
      <x:c r="AM51"/>
      <x:c r="AN51" t="str">
        <x:v>Logística</x:v>
      </x:c>
      <x:c r="AO51" s="10" t="str">
        <x:v>26 24 1686 6025322</x:v>
      </x:c>
      <x:c r="AP51" s="10" t="str">
        <x:v>PG41417/26</x:v>
      </x:c>
      <x:c r="AQ51"/>
      <x:c r="AR51" s="13"/>
      <x:c r="AS51" s="26" t="n">
        <x:f>IF(R51&lt;&gt;"",MAX(0,R51-AR51),"")</x:f>
        <x:v>1175610.55</x:v>
      </x:c>
      <x:c r="AT51" s="13" t="n">
        <x:v>40610.2</x:v>
      </x:c>
      <x:c r="AU51" s="13"/>
      <x:c r="AV51" s="13"/>
      <x:c r="AW51" s="13"/>
      <x:c r="AX51" s="13"/>
      <x:c r="AY51" s="26" t="n">
        <x:f>IF(R51&lt;&gt;"",R51+AT51,"")</x:f>
        <x:v>1216220.75</x:v>
      </x:c>
      <x:c r="AZ51" s="27" t="n">
        <x:f>IF(Q51&gt;0,AY51/Q51,"")</x:f>
        <x:v>67.33502729175744</x:v>
      </x:c>
      <x:c r="BA51" s="13" t="n">
        <x:v>77</x:v>
      </x:c>
      <x:c r="BB51" s="26" t="n">
        <x:f>IF(AND(BA51&lt;&gt;"",Q51&gt;0),BA51*Q51,"")</x:f>
        <x:v>1390791.71</x:v>
      </x:c>
      <x:c r="BC51" s="26" t="n">
        <x:f>IF(AND(BB51&lt;&gt;"",AY51&lt;&gt;""),BB51-AY51,"")</x:f>
        <x:v>174570.95999999996</x:v>
      </x:c>
      <x:c r="BD51" s="26" t="n">
        <x:f>IF(AND(BA51&lt;&gt;"",AZ51&lt;&gt;""),BA51-AZ51,"")</x:f>
        <x:v>9.664972708242558</x:v>
      </x:c>
      <x:c r="BE51" s="28" t="n">
        <x:f>IF(BB51&gt;0,BC51/BB51,"")</x:f>
        <x:v>0.12551912608107219</x:v>
      </x:c>
      <x:c r="BF51" s="12"/>
      <x:c r="BG51" s="12"/>
      <x:c r="BH51"/>
      <x:c r="BI51" s="12"/>
      <x:c r="BJ51" s="12"/>
      <x:c r="BK51" s="28" t="n">
        <x:f>COUNTA(B51,G51,H51,I51,K51,M51,N51,Q51,R51,Y51,AE51,AF51,AI51,AK51)/14</x:f>
        <x:v>0.8571428571428571</x:v>
      </x:c>
      <x:c r="BL51" s="24" t="str">
        <x:f>IF(M51="","Falta país",IF(AE51="","Falta fracción",IF(AF51="","Falta Incoterm",IF(W51="","Falta tránsito",IF(X51="","Falta naviera",IF(AND(M51="Estados Unidos",AI51=""),"Falta inspección EE. UU.","Completo"))))))</x:f>
        <x:v>Falta Incoterm</x:v>
      </x:c>
      <x:c r="BM51" t="str">
        <x:v>001 Matriz</x:v>
      </x:c>
      <x:c r="BN51" t="str">
        <x:v>Porcino</x:v>
      </x:c>
      <x:c r="BO51" t="str">
        <x:v>Caja</x:v>
      </x:c>
      <x:c r="BP51"/>
      <x:c r="BQ51" s="12" t="n">
        <x:v>18062.23</x:v>
      </x:c>
      <x:c r="BR51" t="str">
        <x:v>Kilogramos</x:v>
      </x:c>
      <x:c r="BS51" s="12" t="n">
        <x:v>1</x:v>
      </x:c>
      <x:c r="BT51" s="13" t="n">
        <x:v>65.09</x:v>
      </x:c>
      <x:c r="BU51" s="13" t="n">
        <x:v>1175610.55</x:v>
      </x:c>
    </x:row>
  </x:sheetData>
  <x:conditionalFormatting sqref="BK2:BK5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L2:BL51">
    <x:cfRule type="containsText" dxfId="0" priority="2" operator="containsText" text="Falta"/>
  </x:conditionalFormatting>
  <x:dataValidations count="9">
    <x:dataValidation type="list" sqref="L2:L1000">
      <x:formula1>"Internacional"</x:formula1>
    </x:dataValidation>
    <x:dataValidation type="list" sqref="K2:K1000">
      <x:formula1>"001 Corralito,002 Granja Calpulalpan,003 Granja Calle 7"</x:formula1>
    </x:dataValidation>
    <x:dataValidation type="list" sqref="Y2:Y1000">
      <x:formula1>"Terrestre,Marítimo,Aéreo"</x:formula1>
    </x:dataValidation>
    <x:dataValidation type="list" sqref="S2:S1000">
      <x:formula1>"MXN,USD,CAD,EUR"</x:formula1>
    </x:dataValidation>
    <x:dataValidation type="list" sqref="AF2:AF1000">
      <x:formula1>"EXW,FCA,CPT,CIP,DAP,DPU,DDP,FAS,FOB,CFR,CIF"</x:formula1>
    </x:dataValidation>
    <x:dataValidation type="list" sqref="AI2:AI1000">
      <x:formula1>"Con inspección,Sin inspección,No aplica"</x:formula1>
    </x:dataValidation>
    <x:dataValidation type="list" sqref="AJ2:AJ1000">
      <x:formula1>"Pendiente,Pagado"</x:formula1>
    </x:dataValidation>
    <x:dataValidation type="list" sqref="AK2:AK1000">
      <x:formula1>"Programado,En tránsito,En aduana,En inspección,Liberado,Recibido,Cancelado"</x:formula1>
    </x:dataValidation>
    <x:dataValidation type="list" sqref="AL2:AL1000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53687d6d8342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3" hidden="0" customWidth="1"/>
    <x:col min="3" max="3" width="59" hidden="0" customWidth="1"/>
    <x:col min="5" max="5" width="18" hidden="0" customWidth="1"/>
    <x:col min="6" max="6" width="62" hidden="0" customWidth="1"/>
  </x:cols>
  <x:sheetData>
    <x:row r="1" ht="32" customHeight="1">
      <x:c r="A1" s="2" t="str">
        <x:v>Control de calidad · julio 2026</x:v>
      </x:c>
      <x:c r="B1" s="2"/>
      <x:c r="C1" s="2"/>
      <x:c r="D1" s="2"/>
      <x:c r="E1" s="2"/>
      <x:c r="F1" s="2"/>
    </x:row>
    <x:row r="3">
      <x:c r="A3" s="6" t="str">
        <x:v>Indicador</x:v>
      </x:c>
      <x:c r="B3" s="6" t="str">
        <x:v>Filas</x:v>
      </x:c>
      <x:c r="C3" s="6" t="str">
        <x:v>Interpretación</x:v>
      </x:c>
      <x:c r="E3" s="32" t="str">
        <x:v>Prioridad</x:v>
      </x:c>
      <x:c r="F3" s="32" t="str">
        <x:v>Información que Logística debe completar</x:v>
      </x:c>
    </x:row>
    <x:row r="4">
      <x:c r="A4" s="8" t="str">
        <x:v>Registros internacionales cargados</x:v>
      </x:c>
      <x:c r="B4" s="8" t="n">
        <x:v>50</x:v>
      </x:c>
      <x:c r="C4" s="8" t="str">
        <x:v>Base real de julio de 2026</x:v>
      </x:c>
      <x:c r="E4" s="8" t="str">
        <x:v>1 · crítica</x:v>
      </x:c>
      <x:c r="F4" s="8" t="str">
        <x:v>País de origen de ESS FOOD y MASTER AGROINDUSTRIAL</x:v>
      </x:c>
    </x:row>
    <x:row r="5">
      <x:c r="A5" s="8" t="str">
        <x:v>País de origen faltante</x:v>
      </x:c>
      <x:c r="B5" s="8" t="n">
        <x:v>10</x:v>
      </x:c>
      <x:c r="C5" s="8" t="str">
        <x:v>7 ESS FOOD y 3 MASTER AGROINDUSTRIAL</x:v>
      </x:c>
      <x:c r="E5" s="8" t="str">
        <x:v>1 · crítica</x:v>
      </x:c>
      <x:c r="F5" s="8" t="str">
        <x:v>Fracción arancelaria e Incoterm</x:v>
      </x:c>
    </x:row>
    <x:row r="6">
      <x:c r="A6" s="8" t="str">
        <x:v>Fracción arancelaria faltante</x:v>
      </x:c>
      <x:c r="B6" s="8" t="n">
        <x:v>49</x:v>
      </x:c>
      <x:c r="C6" s="8" t="str">
        <x:v>Solo 1 fila tiene el dato</x:v>
      </x:c>
      <x:c r="E6" s="8" t="str">
        <x:v>1 · crítica</x:v>
      </x:c>
      <x:c r="F6" s="8" t="str">
        <x:v>Salida, arribo estimado, arribo real y días de tránsito</x:v>
      </x:c>
    </x:row>
    <x:row r="7">
      <x:c r="A7" s="8" t="str">
        <x:v>Incoterm faltante</x:v>
      </x:c>
      <x:c r="B7" s="8" t="n">
        <x:v>50</x:v>
      </x:c>
      <x:c r="C7" s="8" t="str">
        <x:v>Debe solicitarse para todas las filas</x:v>
      </x:c>
      <x:c r="E7" s="8" t="str">
        <x:v>1 · crítica</x:v>
      </x:c>
      <x:c r="F7" s="8" t="str">
        <x:v>Inspección Con/Sin para Estados Unidos</x:v>
      </x:c>
    </x:row>
    <x:row r="8">
      <x:c r="A8" s="8" t="str">
        <x:v>Días o fechas de tránsito faltantes</x:v>
      </x:c>
      <x:c r="B8" s="8" t="n">
        <x:v>50</x:v>
      </x:c>
      <x:c r="C8" s="8" t="str">
        <x:v>No puede medirse tránsito todavía</x:v>
      </x:c>
      <x:c r="E8" s="8" t="str">
        <x:v>2 · operación</x:v>
      </x:c>
      <x:c r="F8" s="8" t="str">
        <x:v>Naviera o transportista, aduana y agente aduanal</x:v>
      </x:c>
    </x:row>
    <x:row r="9">
      <x:c r="A9" s="8" t="str">
        <x:v>Naviera / transportista faltante</x:v>
      </x:c>
      <x:c r="B9" s="8" t="n">
        <x:v>50</x:v>
      </x:c>
      <x:c r="C9" s="8" t="str">
        <x:v>Debe distinguirse aun en cargas terrestres</x:v>
      </x:c>
      <x:c r="E9" s="8" t="str">
        <x:v>2 · pagos</x:v>
      </x:c>
      <x:c r="F9" s="8" t="str">
        <x:v>Días de crédito, fecha límite y estatus de pago</x:v>
      </x:c>
    </x:row>
    <x:row r="10">
      <x:c r="A10" s="8" t="str">
        <x:v>Aduana faltante</x:v>
      </x:c>
      <x:c r="B10" s="8" t="n">
        <x:v>50</x:v>
      </x:c>
      <x:c r="C10" s="8" t="str">
        <x:v>Impide analizar tiempos por cruce</x:v>
      </x:c>
    </x:row>
    <x:row r="11">
      <x:c r="A11" s="8" t="str">
        <x:v>Agente aduanal faltante</x:v>
      </x:c>
      <x:c r="B11" s="8" t="n">
        <x:v>50</x:v>
      </x:c>
      <x:c r="C11" s="8" t="str">
        <x:v>Impide evaluar gestión por agente</x:v>
      </x:c>
    </x:row>
    <x:row r="12">
      <x:c r="A12" s="8" t="str">
        <x:v>Crédito y fecha límite faltantes</x:v>
      </x:c>
      <x:c r="B12" s="8" t="n">
        <x:v>50</x:v>
      </x:c>
      <x:c r="C12" s="8" t="str">
        <x:v>Impide alertas de pago</x:v>
      </x:c>
    </x:row>
    <x:row r="13">
      <x:c r="A13" s="8" t="str">
        <x:v>Inspección EE. UU. faltante</x:v>
      </x:c>
      <x:c r="B13" s="8" t="n">
        <x:v>22</x:v>
      </x:c>
      <x:c r="C13" s="8" t="str">
        <x:v>Registrar Con inspección o Sin inspección</x:v>
      </x:c>
    </x:row>
    <x:row r="14">
      <x:c r="A14" s="8" t="str">
        <x:v>Filas de Canadá con No aplica</x:v>
      </x:c>
      <x:c r="B14" s="8" t="n">
        <x:v>18</x:v>
      </x:c>
      <x:c r="C14" s="8" t="str">
        <x:v>Captura consistente</x:v>
      </x:c>
    </x:row>
    <x:row r="15">
      <x:c r="A15" s="8" t="str">
        <x:v>Filas con kilos igual a cero</x:v>
      </x:c>
      <x:c r="B15" s="8" t="n">
        <x:v>0</x:v>
      </x:c>
      <x:c r="C15" s="8" t="str">
        <x:v>Sin problema en Logística internacional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28" hidden="0" customWidth="1"/>
    <x:col min="6" max="6" width="28" hidden="0" customWidth="1"/>
    <x:col min="7" max="7" width="28" hidden="0" customWidth="1"/>
    <x:col min="8" max="8" width="70" hidden="0" customWidth="1"/>
    <x:col min="9" max="9" width="18" hidden="0" customWidth="1"/>
  </x:cols>
  <x:sheetData>
    <x:row r="1">
      <x:c r="A1" s="32" t="str">
        <x:v>movimiento_id</x:v>
      </x:c>
      <x:c r="B1" s="32" t="str">
        <x:v>fecha</x:v>
      </x:c>
      <x:c r="C1" s="32" t="str">
        <x:v>embarque_id</x:v>
      </x:c>
      <x:c r="D1" s="32" t="str">
        <x:v>codigo</x:v>
      </x:c>
      <x:c r="E1" s="32" t="str">
        <x:v>producto</x:v>
      </x:c>
      <x:c r="F1" s="32" t="str">
        <x:v>proveedor</x:v>
      </x:c>
      <x:c r="G1" s="32" t="str">
        <x:v>pais_origen</x:v>
      </x:c>
      <x:c r="H1" s="32" t="str">
        <x:v>campos_pendientes</x:v>
      </x:c>
      <x:c r="I1" s="32" t="str">
        <x:v>cantidad_pendiente</x:v>
      </x:c>
    </x:row>
    <x:row r="2">
      <x:c r="A2" t="str">
        <x:v>LOG-202607-0001</x:v>
      </x:c>
      <x:c r="B2" s="11" t="n">
        <x:v>46234</x:v>
      </x:c>
      <x:c r="C2" t="str">
        <x:v>6195</x:v>
      </x:c>
      <x:c r="D2" t="str">
        <x:v>9064</x:v>
      </x:c>
      <x:c r="E2" t="str">
        <x:v>Alitas de Pollo Jumbo (Cj)</x:v>
      </x:c>
      <x:c r="F2" t="str">
        <x:v>ALPINE FOODS</x:v>
      </x:c>
      <x:c r="G2" t="str">
        <x:v>Estados Unidos</x:v>
      </x:c>
      <x:c r="H2" t="str">
        <x:v>fraccion_arancelaria; incoterm; fecha_arribo_estimada; fecha_arribo; dias_transito; naviera; aduana; agente_aduanal; dias_credito_proveedor; fecha_limite_pago; inspeccion</x:v>
      </x:c>
      <x:c r="I2" t="n">
        <x:v>11</x:v>
      </x:c>
    </x:row>
    <x:row r="3">
      <x:c r="A3" t="str">
        <x:v>LOG-202607-0002</x:v>
      </x:c>
      <x:c r="B3" s="11" t="n">
        <x:v>46234</x:v>
      </x:c>
      <x:c r="C3" t="str">
        <x:v>6192</x:v>
      </x:c>
      <x:c r="D3" t="str">
        <x:v>9128</x:v>
      </x:c>
      <x:c r="E3" t="str">
        <x:v>Buche Crudo Mariposa (Cj)</x:v>
      </x:c>
      <x:c r="F3" t="str">
        <x:v>NORTHSIDE INTERNATIONAL</x:v>
      </x:c>
      <x:c r="G3" t="str">
        <x:v>Estados Unidos</x:v>
      </x:c>
      <x:c r="H3" t="str">
        <x:v>fraccion_arancelaria; incoterm; fecha_arribo_estimada; fecha_arribo; dias_transito; naviera; aduana; agente_aduanal; dias_credito_proveedor; fecha_limite_pago; inspeccion</x:v>
      </x:c>
      <x:c r="I3" t="n">
        <x:v>11</x:v>
      </x:c>
    </x:row>
    <x:row r="4">
      <x:c r="A4" t="str">
        <x:v>LOG-202607-0003</x:v>
      </x:c>
      <x:c r="B4" s="11" t="n">
        <x:v>46234</x:v>
      </x:c>
      <x:c r="C4" t="str">
        <x:v>6201</x:v>
      </x:c>
      <x:c r="D4" t="str">
        <x:v>9270</x:v>
      </x:c>
      <x:c r="E4" t="str">
        <x:v>Pierna de Cerdo (Cb)</x:v>
      </x:c>
      <x:c r="F4" t="str">
        <x:v>BMG TRADING</x:v>
      </x:c>
      <x:c r="G4" t="str">
        <x:v>Canadá</x:v>
      </x:c>
      <x:c r="H4" t="str">
        <x:v>fraccion_arancelaria; incoterm; fecha_arribo_estimada; fecha_arribo; dias_transito; naviera; aduana; agente_aduanal; dias_credito_proveedor; fecha_limite_pago</x:v>
      </x:c>
      <x:c r="I4" t="n">
        <x:v>10</x:v>
      </x:c>
    </x:row>
    <x:row r="5">
      <x:c r="A5" t="str">
        <x:v>LOG-202607-0004</x:v>
      </x:c>
      <x:c r="B5" s="11" t="n">
        <x:v>46234</x:v>
      </x:c>
      <x:c r="C5" t="str">
        <x:v>6200</x:v>
      </x:c>
      <x:c r="D5" t="str">
        <x:v>9270</x:v>
      </x:c>
      <x:c r="E5" t="str">
        <x:v>Pierna de Cerdo (Cb)</x:v>
      </x:c>
      <x:c r="F5" t="str">
        <x:v>CANADA PACKERS INC</x:v>
      </x:c>
      <x:c r="G5" t="str">
        <x:v>Canadá</x:v>
      </x:c>
      <x:c r="H5" t="str">
        <x:v>fraccion_arancelaria; incoterm; fecha_arribo_estimada; fecha_arribo; dias_transito; naviera; aduana; agente_aduanal; dias_credito_proveedor; fecha_limite_pago</x:v>
      </x:c>
      <x:c r="I5" t="n">
        <x:v>10</x:v>
      </x:c>
    </x:row>
    <x:row r="6">
      <x:c r="A6" t="str">
        <x:v>LOG-202607-0005</x:v>
      </x:c>
      <x:c r="B6" s="11" t="n">
        <x:v>46234</x:v>
      </x:c>
      <x:c r="C6" t="str">
        <x:v>6198</x:v>
      </x:c>
      <x:c r="D6" t="str">
        <x:v>9183</x:v>
      </x:c>
      <x:c r="E6" t="str">
        <x:v>Cuero Belly (Cb)</x:v>
      </x:c>
      <x:c r="F6" t="str">
        <x:v>NORTHSIDE INTERNATIONAL</x:v>
      </x:c>
      <x:c r="G6" t="str">
        <x:v>Estados Unidos</x:v>
      </x:c>
      <x:c r="H6" t="str">
        <x:v>fraccion_arancelaria; incoterm; fecha_arribo_estimada; fecha_arribo; dias_transito; naviera; aduana; agente_aduanal; dias_credito_proveedor; fecha_limite_pago; inspeccion</x:v>
      </x:c>
      <x:c r="I6" t="n">
        <x:v>11</x:v>
      </x:c>
    </x:row>
    <x:row r="7">
      <x:c r="A7" t="str">
        <x:v>LOG-202607-0006</x:v>
      </x:c>
      <x:c r="B7" s="11" t="n">
        <x:v>46233</x:v>
      </x:c>
      <x:c r="C7" t="str">
        <x:v>6197</x:v>
      </x:c>
      <x:c r="D7" t="str">
        <x:v>9254</x:v>
      </x:c>
      <x:c r="E7" t="str">
        <x:v>Outer Shank (Cj)</x:v>
      </x:c>
      <x:c r="F7" t="str">
        <x:v>HYLIFE FOODS LP</x:v>
      </x:c>
      <x:c r="G7" t="str">
        <x:v>Canadá</x:v>
      </x:c>
      <x:c r="H7" t="str">
        <x:v>fraccion_arancelaria; incoterm; fecha_arribo_estimada; fecha_arribo; dias_transito; naviera; aduana; agente_aduanal; dias_credito_proveedor; fecha_limite_pago</x:v>
      </x:c>
      <x:c r="I7" t="n">
        <x:v>10</x:v>
      </x:c>
    </x:row>
    <x:row r="8">
      <x:c r="A8" t="str">
        <x:v>LOG-202607-0007</x:v>
      </x:c>
      <x:c r="B8" s="11" t="n">
        <x:v>46233</x:v>
      </x:c>
      <x:c r="C8" t="str">
        <x:v>6194</x:v>
      </x:c>
      <x:c r="D8" t="str">
        <x:v>9183</x:v>
      </x:c>
      <x:c r="E8" t="str">
        <x:v>Cuero Belly (Cb)</x:v>
      </x:c>
      <x:c r="F8" t="str">
        <x:v>SAM FARMS LLC</x:v>
      </x:c>
      <x:c r="G8" t="str">
        <x:v>Estados Unidos</x:v>
      </x:c>
      <x:c r="H8" t="str">
        <x:v>fraccion_arancelaria; incoterm; fecha_arribo_estimada; fecha_arribo; dias_transito; naviera; aduana; agente_aduanal; dias_credito_proveedor; fecha_limite_pago; inspeccion</x:v>
      </x:c>
      <x:c r="I8" t="n">
        <x:v>11</x:v>
      </x:c>
    </x:row>
    <x:row r="9">
      <x:c r="A9" t="str">
        <x:v>LOG-202607-0008</x:v>
      </x:c>
      <x:c r="B9" s="11" t="n">
        <x:v>46233</x:v>
      </x:c>
      <x:c r="C9" t="str">
        <x:v>6193</x:v>
      </x:c>
      <x:c r="D9" t="str">
        <x:v>9176</x:v>
      </x:c>
      <x:c r="E9" t="str">
        <x:v>Corbata A/Vacío (Cj)</x:v>
      </x:c>
      <x:c r="F9" t="str">
        <x:v>QUIRCH FOODS</x:v>
      </x:c>
      <x:c r="G9" t="str">
        <x:v>Estados Unidos</x:v>
      </x:c>
      <x:c r="H9" t="str">
        <x:v>fraccion_arancelaria; incoterm; fecha_arribo_estimada; fecha_arribo; dias_transito; naviera; aduana; agente_aduanal; dias_credito_proveedor; fecha_limite_pago; inspeccion</x:v>
      </x:c>
      <x:c r="I9" t="n">
        <x:v>11</x:v>
      </x:c>
    </x:row>
    <x:row r="10">
      <x:c r="A10" t="str">
        <x:v>LOG-202607-0009</x:v>
      </x:c>
      <x:c r="B10" s="11" t="n">
        <x:v>46232</x:v>
      </x:c>
      <x:c r="C10" t="str">
        <x:v>6196</x:v>
      </x:c>
      <x:c r="D10" t="str">
        <x:v>9270</x:v>
      </x:c>
      <x:c r="E10" t="str">
        <x:v>Pierna de Cerdo (Cb)</x:v>
      </x:c>
      <x:c r="F10" t="str">
        <x:v>HYLIFE FOODS LP</x:v>
      </x:c>
      <x:c r="G10" t="str">
        <x:v>Canadá</x:v>
      </x:c>
      <x:c r="H10" t="str">
        <x:v>fraccion_arancelaria; incoterm; fecha_arribo_estimada; fecha_arribo; dias_transito; naviera; aduana; agente_aduanal; dias_credito_proveedor; fecha_limite_pago</x:v>
      </x:c>
      <x:c r="I10" t="n">
        <x:v>10</x:v>
      </x:c>
    </x:row>
    <x:row r="11">
      <x:c r="A11" t="str">
        <x:v>LOG-202607-0010</x:v>
      </x:c>
      <x:c r="B11" s="11" t="n">
        <x:v>46232</x:v>
      </x:c>
      <x:c r="C11" t="str">
        <x:v>6202</x:v>
      </x:c>
      <x:c r="D11" t="str">
        <x:v>9129</x:v>
      </x:c>
      <x:c r="E11" t="str">
        <x:v>Buche Crudo Mariposa M (Cj)</x:v>
      </x:c>
      <x:c r="F11" t="str">
        <x:v>ESS FOOD</x:v>
      </x:c>
      <x:c r="G11" t="str"/>
      <x:c r="H11" t="str">
        <x:v>pais_origen; fraccion_arancelaria; incoterm; fecha_arribo_estimada; fecha_arribo; dias_transito; naviera; aduana; agente_aduanal; dias_credito_proveedor; fecha_limite_pago; inspeccion</x:v>
      </x:c>
      <x:c r="I11" t="n">
        <x:v>12</x:v>
      </x:c>
    </x:row>
    <x:row r="12">
      <x:c r="A12" t="str">
        <x:v>LOG-202607-0011</x:v>
      </x:c>
      <x:c r="B12" s="11" t="n">
        <x:v>46231</x:v>
      </x:c>
      <x:c r="C12" t="str">
        <x:v>6188</x:v>
      </x:c>
      <x:c r="D12" t="str">
        <x:v>9270</x:v>
      </x:c>
      <x:c r="E12" t="str">
        <x:v>Pierna de Cerdo (Cb)</x:v>
      </x:c>
      <x:c r="F12" t="str">
        <x:v>CANADA PACKERS INC</x:v>
      </x:c>
      <x:c r="G12" t="str">
        <x:v>Canadá</x:v>
      </x:c>
      <x:c r="H12" t="str">
        <x:v>fraccion_arancelaria; incoterm; fecha_arribo_estimada; fecha_arribo; dias_transito; naviera; aduana; agente_aduanal; dias_credito_proveedor; fecha_limite_pago</x:v>
      </x:c>
      <x:c r="I12" t="n">
        <x:v>10</x:v>
      </x:c>
    </x:row>
    <x:row r="13">
      <x:c r="A13" t="str">
        <x:v>LOG-202607-0012</x:v>
      </x:c>
      <x:c r="B13" s="11" t="n">
        <x:v>46231</x:v>
      </x:c>
      <x:c r="C13" t="str">
        <x:v>6187</x:v>
      </x:c>
      <x:c r="D13" t="str">
        <x:v>9148</x:v>
      </x:c>
      <x:c r="E13" t="str">
        <x:v>Caña de Lomo A/V (Cj)</x:v>
      </x:c>
      <x:c r="F13" t="str">
        <x:v>QUIRCH FOODS</x:v>
      </x:c>
      <x:c r="G13" t="str">
        <x:v>Estados Unidos</x:v>
      </x:c>
      <x:c r="H13" t="str">
        <x:v>fraccion_arancelaria; incoterm; fecha_arribo_estimada; fecha_arribo; dias_transito; naviera; aduana; agente_aduanal; dias_credito_proveedor; fecha_limite_pago; inspeccion</x:v>
      </x:c>
      <x:c r="I13" t="n">
        <x:v>11</x:v>
      </x:c>
    </x:row>
    <x:row r="14">
      <x:c r="A14" t="str">
        <x:v>LOG-202607-0013</x:v>
      </x:c>
      <x:c r="B14" s="11" t="n">
        <x:v>46230</x:v>
      </x:c>
      <x:c r="C14" t="str">
        <x:v>6205</x:v>
      </x:c>
      <x:c r="D14" t="str">
        <x:v>9172</x:v>
      </x:c>
      <x:c r="E14" t="str">
        <x:v>Codillo S/Perico (Cj)</x:v>
      </x:c>
      <x:c r="F14" t="str">
        <x:v>MASTER AGROINDUSTRIAL</x:v>
      </x:c>
      <x:c r="G14" t="str"/>
      <x:c r="H14" t="str">
        <x:v>pais_origen; fraccion_arancelaria; incoterm; fecha_arribo_estimada; fecha_arribo; dias_transito; naviera; aduana; agente_aduanal; dias_credito_proveedor; fecha_limite_pago; inspeccion</x:v>
      </x:c>
      <x:c r="I14" t="n">
        <x:v>12</x:v>
      </x:c>
    </x:row>
    <x:row r="15">
      <x:c r="A15" t="str">
        <x:v>LOG-202607-0014</x:v>
      </x:c>
      <x:c r="B15" s="11" t="n">
        <x:v>46230</x:v>
      </x:c>
      <x:c r="C15" t="str">
        <x:v>6183</x:v>
      </x:c>
      <x:c r="D15" t="str">
        <x:v>9265</x:v>
      </x:c>
      <x:c r="E15" t="str">
        <x:v>Picnic (Cb)</x:v>
      </x:c>
      <x:c r="F15" t="str">
        <x:v>NORTHERN BEEF INDUSTRIES</x:v>
      </x:c>
      <x:c r="G15" t="str">
        <x:v>Estados Unidos</x:v>
      </x:c>
      <x:c r="H15" t="str">
        <x:v>fraccion_arancelaria; incoterm; fecha_arribo_estimada; fecha_arribo; dias_transito; naviera; aduana; agente_aduanal; dias_credito_proveedor; fecha_limite_pago; inspeccion</x:v>
      </x:c>
      <x:c r="I15" t="n">
        <x:v>11</x:v>
      </x:c>
    </x:row>
    <x:row r="16">
      <x:c r="A16" t="str">
        <x:v>LOG-202607-0015</x:v>
      </x:c>
      <x:c r="B16" s="11" t="n">
        <x:v>46227</x:v>
      </x:c>
      <x:c r="C16" t="str">
        <x:v>6185</x:v>
      </x:c>
      <x:c r="D16" t="str">
        <x:v>9270</x:v>
      </x:c>
      <x:c r="E16" t="str">
        <x:v>Pierna de Cerdo (Cb)</x:v>
      </x:c>
      <x:c r="F16" t="str">
        <x:v>CANADA PACKERS INC</x:v>
      </x:c>
      <x:c r="G16" t="str">
        <x:v>Canadá</x:v>
      </x:c>
      <x:c r="H16" t="str">
        <x:v>fraccion_arancelaria; incoterm; fecha_arribo_estimada; fecha_arribo; dias_transito; naviera; aduana; agente_aduanal; dias_credito_proveedor; fecha_limite_pago</x:v>
      </x:c>
      <x:c r="I16" t="n">
        <x:v>10</x:v>
      </x:c>
    </x:row>
    <x:row r="17">
      <x:c r="A17" t="str">
        <x:v>LOG-202607-0016</x:v>
      </x:c>
      <x:c r="B17" s="11" t="n">
        <x:v>46227</x:v>
      </x:c>
      <x:c r="C17" t="str">
        <x:v>6184</x:v>
      </x:c>
      <x:c r="D17" t="str">
        <x:v>9270</x:v>
      </x:c>
      <x:c r="E17" t="str">
        <x:v>Pierna de Cerdo (Cb)</x:v>
      </x:c>
      <x:c r="F17" t="str">
        <x:v>BMG TRADING</x:v>
      </x:c>
      <x:c r="G17" t="str">
        <x:v>Canadá</x:v>
      </x:c>
      <x:c r="H17" t="str">
        <x:v>fraccion_arancelaria; incoterm; fecha_arribo_estimada; fecha_arribo; dias_transito; naviera; aduana; agente_aduanal; dias_credito_proveedor; fecha_limite_pago</x:v>
      </x:c>
      <x:c r="I17" t="n">
        <x:v>10</x:v>
      </x:c>
    </x:row>
    <x:row r="18">
      <x:c r="A18" t="str">
        <x:v>LOG-202607-0017</x:v>
      </x:c>
      <x:c r="B18" s="11" t="n">
        <x:v>46225</x:v>
      </x:c>
      <x:c r="C18" t="str">
        <x:v>6179</x:v>
      </x:c>
      <x:c r="D18" t="str">
        <x:v>9028</x:v>
      </x:c>
      <x:c r="E18" t="str">
        <x:v>Menudo Americano National (Cj)</x:v>
      </x:c>
      <x:c r="F18" t="str">
        <x:v>NORTHERN BEEF INDUSTRIES</x:v>
      </x:c>
      <x:c r="G18" t="str">
        <x:v>Estados Unidos</x:v>
      </x:c>
      <x:c r="H18" t="str">
        <x:v>fraccion_arancelaria; incoterm; fecha_arribo_estimada; fecha_arribo; dias_transito; naviera; aduana; agente_aduanal; dias_credito_proveedor; fecha_limite_pago; inspeccion</x:v>
      </x:c>
      <x:c r="I18" t="n">
        <x:v>11</x:v>
      </x:c>
    </x:row>
    <x:row r="19">
      <x:c r="A19" t="str">
        <x:v>LOG-202607-0018</x:v>
      </x:c>
      <x:c r="B19" s="11" t="n">
        <x:v>46225</x:v>
      </x:c>
      <x:c r="C19" t="str">
        <x:v>6182</x:v>
      </x:c>
      <x:c r="D19" t="str">
        <x:v>9270</x:v>
      </x:c>
      <x:c r="E19" t="str">
        <x:v>Pierna de Cerdo (Cb)</x:v>
      </x:c>
      <x:c r="F19" t="str">
        <x:v>HYLIFE FOODS LP</x:v>
      </x:c>
      <x:c r="G19" t="str">
        <x:v>Canadá</x:v>
      </x:c>
      <x:c r="H19" t="str">
        <x:v>fraccion_arancelaria; incoterm; fecha_arribo_estimada; fecha_arribo; dias_transito; naviera; aduana; agente_aduanal; dias_credito_proveedor; fecha_limite_pago</x:v>
      </x:c>
      <x:c r="I19" t="n">
        <x:v>10</x:v>
      </x:c>
    </x:row>
    <x:row r="20">
      <x:c r="A20" t="str">
        <x:v>LOG-202607-0019</x:v>
      </x:c>
      <x:c r="B20" s="11" t="n">
        <x:v>46225</x:v>
      </x:c>
      <x:c r="C20" t="str">
        <x:v>6191</x:v>
      </x:c>
      <x:c r="D20" t="str">
        <x:v>9128</x:v>
      </x:c>
      <x:c r="E20" t="str">
        <x:v>Buche Crudo Mariposa (Cj)</x:v>
      </x:c>
      <x:c r="F20" t="str">
        <x:v>ESS FOOD</x:v>
      </x:c>
      <x:c r="G20" t="str"/>
      <x:c r="H20" t="str">
        <x:v>pais_origen; fraccion_arancelaria; incoterm; fecha_arribo_estimada; fecha_arribo; dias_transito; naviera; aduana; agente_aduanal; dias_credito_proveedor; fecha_limite_pago; inspeccion</x:v>
      </x:c>
      <x:c r="I20" t="n">
        <x:v>12</x:v>
      </x:c>
    </x:row>
    <x:row r="21">
      <x:c r="A21" t="str">
        <x:v>LOG-202607-0020</x:v>
      </x:c>
      <x:c r="B21" s="11" t="n">
        <x:v>46224</x:v>
      </x:c>
      <x:c r="C21" t="str">
        <x:v>6180</x:v>
      </x:c>
      <x:c r="D21" t="str">
        <x:v>9270</x:v>
      </x:c>
      <x:c r="E21" t="str">
        <x:v>Pierna de Cerdo (Cb)</x:v>
      </x:c>
      <x:c r="F21" t="str">
        <x:v>CANADA PACKERS INC</x:v>
      </x:c>
      <x:c r="G21" t="str">
        <x:v>Canadá</x:v>
      </x:c>
      <x:c r="H21" t="str">
        <x:v>fraccion_arancelaria; incoterm; fecha_arribo_estimada; fecha_arribo; dias_transito; naviera; aduana; agente_aduanal; dias_credito_proveedor; fecha_limite_pago</x:v>
      </x:c>
      <x:c r="I21" t="n">
        <x:v>10</x:v>
      </x:c>
    </x:row>
    <x:row r="22">
      <x:c r="A22" t="str">
        <x:v>LOG-202607-0021</x:v>
      </x:c>
      <x:c r="B22" s="11" t="n">
        <x:v>46224</x:v>
      </x:c>
      <x:c r="C22" t="str">
        <x:v>6189</x:v>
      </x:c>
      <x:c r="D22" t="str">
        <x:v>9128</x:v>
      </x:c>
      <x:c r="E22" t="str">
        <x:v>Buche Crudo Mariposa (Cj)</x:v>
      </x:c>
      <x:c r="F22" t="str">
        <x:v>ESS FOOD</x:v>
      </x:c>
      <x:c r="G22" t="str"/>
      <x:c r="H22" t="str">
        <x:v>pais_origen; fraccion_arancelaria; incoterm; fecha_arribo_estimada; fecha_arribo; dias_transito; naviera; aduana; agente_aduanal; dias_credito_proveedor; fecha_limite_pago; inspeccion</x:v>
      </x:c>
      <x:c r="I22" t="n">
        <x:v>12</x:v>
      </x:c>
    </x:row>
    <x:row r="23">
      <x:c r="A23" t="str">
        <x:v>LOG-202607-0022</x:v>
      </x:c>
      <x:c r="B23" s="11" t="n">
        <x:v>46223</x:v>
      </x:c>
      <x:c r="C23" t="str">
        <x:v>6177</x:v>
      </x:c>
      <x:c r="D23" t="str">
        <x:v>9148</x:v>
      </x:c>
      <x:c r="E23" t="str">
        <x:v>Caña de Lomo A/V (Cj)</x:v>
      </x:c>
      <x:c r="F23" t="str">
        <x:v>QUIRCH FOODS</x:v>
      </x:c>
      <x:c r="G23" t="str">
        <x:v>Estados Unidos</x:v>
      </x:c>
      <x:c r="H23" t="str">
        <x:v>fraccion_arancelaria; incoterm; fecha_arribo_estimada; fecha_arribo; dias_transito; naviera; aduana; agente_aduanal; dias_credito_proveedor; fecha_limite_pago; inspeccion</x:v>
      </x:c>
      <x:c r="I23" t="n">
        <x:v>11</x:v>
      </x:c>
    </x:row>
    <x:row r="24">
      <x:c r="A24" t="str">
        <x:v>LOG-202607-0023</x:v>
      </x:c>
      <x:c r="B24" s="11" t="n">
        <x:v>46223</x:v>
      </x:c>
      <x:c r="C24" t="str">
        <x:v>6176</x:v>
      </x:c>
      <x:c r="D24" t="str">
        <x:v>9128</x:v>
      </x:c>
      <x:c r="E24" t="str">
        <x:v>Buche Crudo Mariposa (Cj)</x:v>
      </x:c>
      <x:c r="F24" t="str">
        <x:v>QUIRCH FOODS</x:v>
      </x:c>
      <x:c r="G24" t="str">
        <x:v>Estados Unidos</x:v>
      </x:c>
      <x:c r="H24" t="str">
        <x:v>fraccion_arancelaria; incoterm; fecha_arribo_estimada; fecha_arribo; dias_transito; naviera; aduana; agente_aduanal; dias_credito_proveedor; fecha_limite_pago; inspeccion</x:v>
      </x:c>
      <x:c r="I24" t="n">
        <x:v>11</x:v>
      </x:c>
    </x:row>
    <x:row r="25">
      <x:c r="A25" t="str">
        <x:v>LOG-202607-0024</x:v>
      </x:c>
      <x:c r="B25" s="11" t="n">
        <x:v>46223</x:v>
      </x:c>
      <x:c r="C25" t="str">
        <x:v>6175</x:v>
      </x:c>
      <x:c r="D25" t="str">
        <x:v>9193</x:v>
      </x:c>
      <x:c r="E25" t="str">
        <x:v>Entrecot Americano (Cj)</x:v>
      </x:c>
      <x:c r="F25" t="str">
        <x:v>QUIRCH FOODS</x:v>
      </x:c>
      <x:c r="G25" t="str">
        <x:v>Estados Unidos</x:v>
      </x:c>
      <x:c r="H25" t="str">
        <x:v>fraccion_arancelaria; incoterm; fecha_arribo_estimada; fecha_arribo; dias_transito; naviera; aduana; agente_aduanal; dias_credito_proveedor; fecha_limite_pago; inspeccion</x:v>
      </x:c>
      <x:c r="I25" t="n">
        <x:v>11</x:v>
      </x:c>
    </x:row>
    <x:row r="26">
      <x:c r="A26" t="str">
        <x:v>LOG-202607-0025</x:v>
      </x:c>
      <x:c r="B26" s="11" t="n">
        <x:v>46223</x:v>
      </x:c>
      <x:c r="C26" t="str">
        <x:v>6190</x:v>
      </x:c>
      <x:c r="D26" t="str">
        <x:v>9128</x:v>
      </x:c>
      <x:c r="E26" t="str">
        <x:v>Buche Crudo Mariposa (Cj)</x:v>
      </x:c>
      <x:c r="F26" t="str">
        <x:v>ESS FOOD</x:v>
      </x:c>
      <x:c r="G26" t="str"/>
      <x:c r="H26" t="str">
        <x:v>pais_origen; fraccion_arancelaria; incoterm; fecha_arribo_estimada; fecha_arribo; dias_transito; naviera; aduana; agente_aduanal; dias_credito_proveedor; fecha_limite_pago; inspeccion</x:v>
      </x:c>
      <x:c r="I26" t="n">
        <x:v>12</x:v>
      </x:c>
    </x:row>
    <x:row r="27">
      <x:c r="A27" t="str">
        <x:v>LOG-202607-0026</x:v>
      </x:c>
      <x:c r="B27" s="11" t="n">
        <x:v>46220</x:v>
      </x:c>
      <x:c r="C27" t="str">
        <x:v>6178</x:v>
      </x:c>
      <x:c r="D27" t="str">
        <x:v>9270</x:v>
      </x:c>
      <x:c r="E27" t="str">
        <x:v>Pierna de Cerdo (Cb)</x:v>
      </x:c>
      <x:c r="F27" t="str">
        <x:v>CANADA PACKERS INC</x:v>
      </x:c>
      <x:c r="G27" t="str">
        <x:v>Canadá</x:v>
      </x:c>
      <x:c r="H27" t="str">
        <x:v>fraccion_arancelaria; incoterm; fecha_arribo_estimada; fecha_arribo; dias_transito; naviera; aduana; agente_aduanal; dias_credito_proveedor; fecha_limite_pago</x:v>
      </x:c>
      <x:c r="I27" t="n">
        <x:v>10</x:v>
      </x:c>
    </x:row>
    <x:row r="28">
      <x:c r="A28" t="str">
        <x:v>LOG-202607-0027</x:v>
      </x:c>
      <x:c r="B28" s="11" t="n">
        <x:v>46220</x:v>
      </x:c>
      <x:c r="C28" t="str">
        <x:v>6174</x:v>
      </x:c>
      <x:c r="D28" t="str">
        <x:v>9270</x:v>
      </x:c>
      <x:c r="E28" t="str">
        <x:v>Pierna de Cerdo (Cb)</x:v>
      </x:c>
      <x:c r="F28" t="str">
        <x:v>BMG TRADING</x:v>
      </x:c>
      <x:c r="G28" t="str">
        <x:v>Canadá</x:v>
      </x:c>
      <x:c r="H28" t="str">
        <x:v>fraccion_arancelaria; incoterm; fecha_arribo_estimada; fecha_arribo; dias_transito; naviera; aduana; agente_aduanal; dias_credito_proveedor; fecha_limite_pago</x:v>
      </x:c>
      <x:c r="I28" t="n">
        <x:v>10</x:v>
      </x:c>
    </x:row>
    <x:row r="29">
      <x:c r="A29" t="str">
        <x:v>LOG-202607-0028</x:v>
      </x:c>
      <x:c r="B29" s="11" t="n">
        <x:v>46220</x:v>
      </x:c>
      <x:c r="C29" t="str">
        <x:v>6172</x:v>
      </x:c>
      <x:c r="D29" t="str">
        <x:v>9052</x:v>
      </x:c>
      <x:c r="E29" t="str">
        <x:v>Tripa de Res Delgada Cruda (Cj)</x:v>
      </x:c>
      <x:c r="F29" t="str">
        <x:v>NORTHERN BEEF INDUSTRIES</x:v>
      </x:c>
      <x:c r="G29" t="str">
        <x:v>Estados Unidos</x:v>
      </x:c>
      <x:c r="H29" t="str">
        <x:v>fraccion_arancelaria; incoterm; fecha_arribo_estimada; fecha_arribo; dias_transito; naviera; aduana; agente_aduanal; dias_credito_proveedor; fecha_limite_pago; inspeccion</x:v>
      </x:c>
      <x:c r="I29" t="n">
        <x:v>11</x:v>
      </x:c>
    </x:row>
    <x:row r="30">
      <x:c r="A30" t="str">
        <x:v>LOG-202607-0029</x:v>
      </x:c>
      <x:c r="B30" s="11" t="n">
        <x:v>46219</x:v>
      </x:c>
      <x:c r="C30" t="str">
        <x:v>6169</x:v>
      </x:c>
      <x:c r="D30" t="str">
        <x:v>9128</x:v>
      </x:c>
      <x:c r="E30" t="str">
        <x:v>Buche Crudo Mariposa (Cj)</x:v>
      </x:c>
      <x:c r="F30" t="str">
        <x:v>ESS FOOD</x:v>
      </x:c>
      <x:c r="G30" t="str"/>
      <x:c r="H30" t="str">
        <x:v>pais_origen; fraccion_arancelaria; incoterm; fecha_arribo_estimada; fecha_arribo; dias_transito; naviera; aduana; agente_aduanal; dias_credito_proveedor; fecha_limite_pago; inspeccion</x:v>
      </x:c>
      <x:c r="I30" t="n">
        <x:v>12</x:v>
      </x:c>
    </x:row>
    <x:row r="31">
      <x:c r="A31" t="str">
        <x:v>LOG-202607-0030</x:v>
      </x:c>
      <x:c r="B31" s="11" t="n">
        <x:v>46218</x:v>
      </x:c>
      <x:c r="C31" t="str">
        <x:v>6186</x:v>
      </x:c>
      <x:c r="D31" t="str">
        <x:v>9172</x:v>
      </x:c>
      <x:c r="E31" t="str">
        <x:v>Codillo S/Perico (Cj)</x:v>
      </x:c>
      <x:c r="F31" t="str">
        <x:v>MASTER AGROINDUSTRIAL</x:v>
      </x:c>
      <x:c r="G31" t="str"/>
      <x:c r="H31" t="str">
        <x:v>pais_origen; fraccion_arancelaria; incoterm; fecha_arribo_estimada; fecha_arribo; dias_transito; naviera; aduana; agente_aduanal; dias_credito_proveedor; fecha_limite_pago; inspeccion</x:v>
      </x:c>
      <x:c r="I31" t="n">
        <x:v>12</x:v>
      </x:c>
    </x:row>
    <x:row r="32">
      <x:c r="A32" t="str">
        <x:v>LOG-202607-0031</x:v>
      </x:c>
      <x:c r="B32" s="11" t="n">
        <x:v>46218</x:v>
      </x:c>
      <x:c r="C32" t="str">
        <x:v>6173</x:v>
      </x:c>
      <x:c r="D32" t="str">
        <x:v>9270</x:v>
      </x:c>
      <x:c r="E32" t="str">
        <x:v>Pierna de Cerdo (Cb)</x:v>
      </x:c>
      <x:c r="F32" t="str">
        <x:v>HYLIFE FOODS LP</x:v>
      </x:c>
      <x:c r="G32" t="str">
        <x:v>Canadá</x:v>
      </x:c>
      <x:c r="H32" t="str">
        <x:v>fraccion_arancelaria; incoterm; fecha_arribo_estimada; fecha_arribo; dias_transito; naviera; aduana; agente_aduanal; dias_credito_proveedor; fecha_limite_pago</x:v>
      </x:c>
      <x:c r="I32" t="n">
        <x:v>10</x:v>
      </x:c>
    </x:row>
    <x:row r="33">
      <x:c r="A33" t="str">
        <x:v>LOG-202607-0032</x:v>
      </x:c>
      <x:c r="B33" s="11" t="n">
        <x:v>46218</x:v>
      </x:c>
      <x:c r="C33" t="str">
        <x:v>6168</x:v>
      </x:c>
      <x:c r="D33" t="str">
        <x:v>9175</x:v>
      </x:c>
      <x:c r="E33" t="str">
        <x:v>Corbata A/Regular (Cj)</x:v>
      </x:c>
      <x:c r="F33" t="str">
        <x:v>AJC INTERNATIONAL</x:v>
      </x:c>
      <x:c r="G33" t="str">
        <x:v>Estados Unidos</x:v>
      </x:c>
      <x:c r="H33" t="str">
        <x:v>fraccion_arancelaria; incoterm; fecha_arribo_estimada; fecha_arribo; dias_transito; naviera; aduana; agente_aduanal; dias_credito_proveedor; fecha_limite_pago; inspeccion</x:v>
      </x:c>
      <x:c r="I33" t="n">
        <x:v>11</x:v>
      </x:c>
    </x:row>
    <x:row r="34">
      <x:c r="A34" t="str">
        <x:v>LOG-202607-0033</x:v>
      </x:c>
      <x:c r="B34" s="11" t="n">
        <x:v>46218</x:v>
      </x:c>
      <x:c r="C34" t="str">
        <x:v>6170</x:v>
      </x:c>
      <x:c r="D34" t="str">
        <x:v>9265</x:v>
      </x:c>
      <x:c r="E34" t="str">
        <x:v>Picnic (Cb)</x:v>
      </x:c>
      <x:c r="F34" t="str">
        <x:v>SWIFT PORK COMPANY</x:v>
      </x:c>
      <x:c r="G34" t="str">
        <x:v>Estados Unidos</x:v>
      </x:c>
      <x:c r="H34" t="str">
        <x:v>fraccion_arancelaria; incoterm; fecha_arribo_estimada; fecha_arribo; dias_transito; naviera; aduana; agente_aduanal; dias_credito_proveedor; fecha_limite_pago; inspeccion</x:v>
      </x:c>
      <x:c r="I34" t="n">
        <x:v>11</x:v>
      </x:c>
    </x:row>
    <x:row r="35">
      <x:c r="A35" t="str">
        <x:v>LOG-202607-0034</x:v>
      </x:c>
      <x:c r="B35" s="11" t="n">
        <x:v>46218</x:v>
      </x:c>
      <x:c r="C35" t="str">
        <x:v>6167</x:v>
      </x:c>
      <x:c r="D35" t="str">
        <x:v>9176</x:v>
      </x:c>
      <x:c r="E35" t="str">
        <x:v>Corbata A/Vacío (Cj)</x:v>
      </x:c>
      <x:c r="F35" t="str">
        <x:v>G &amp; C FOOD DISTRIBUTORS &amp; BROKERS INC</x:v>
      </x:c>
      <x:c r="G35" t="str">
        <x:v>Estados Unidos</x:v>
      </x:c>
      <x:c r="H35" t="str">
        <x:v>fraccion_arancelaria; incoterm; fecha_arribo_estimada; fecha_arribo; dias_transito; naviera; aduana; agente_aduanal; dias_credito_proveedor; fecha_limite_pago; inspeccion</x:v>
      </x:c>
      <x:c r="I35" t="n">
        <x:v>11</x:v>
      </x:c>
    </x:row>
    <x:row r="36">
      <x:c r="A36" t="str">
        <x:v>LOG-202607-0035</x:v>
      </x:c>
      <x:c r="B36" s="11" t="n">
        <x:v>46217</x:v>
      </x:c>
      <x:c r="C36" t="str">
        <x:v>6171</x:v>
      </x:c>
      <x:c r="D36" t="str">
        <x:v>9270</x:v>
      </x:c>
      <x:c r="E36" t="str">
        <x:v>Pierna de Cerdo (Cb)</x:v>
      </x:c>
      <x:c r="F36" t="str">
        <x:v>CANADA PACKERS INC</x:v>
      </x:c>
      <x:c r="G36" t="str">
        <x:v>Canadá</x:v>
      </x:c>
      <x:c r="H36" t="str">
        <x:v>fraccion_arancelaria; incoterm; fecha_arribo_estimada; fecha_arribo; dias_transito; naviera; aduana; agente_aduanal; dias_credito_proveedor; fecha_limite_pago</x:v>
      </x:c>
      <x:c r="I36" t="n">
        <x:v>10</x:v>
      </x:c>
    </x:row>
    <x:row r="37">
      <x:c r="A37" t="str">
        <x:v>LOG-202607-0036</x:v>
      </x:c>
      <x:c r="B37" s="11" t="n">
        <x:v>46216</x:v>
      </x:c>
      <x:c r="C37" t="str">
        <x:v>6163</x:v>
      </x:c>
      <x:c r="D37" t="str">
        <x:v>9183</x:v>
      </x:c>
      <x:c r="E37" t="str">
        <x:v>Cuero Belly (Cb)</x:v>
      </x:c>
      <x:c r="F37" t="str">
        <x:v>ISA FOODS INC</x:v>
      </x:c>
      <x:c r="G37" t="str">
        <x:v>Estados Unidos</x:v>
      </x:c>
      <x:c r="H37" t="str">
        <x:v>fraccion_arancelaria; incoterm; fecha_arribo_estimada; fecha_arribo; dias_transito; naviera; aduana; agente_aduanal; dias_credito_proveedor; fecha_limite_pago; inspeccion</x:v>
      </x:c>
      <x:c r="I37" t="n">
        <x:v>11</x:v>
      </x:c>
    </x:row>
    <x:row r="38">
      <x:c r="A38" t="str">
        <x:v>LOG-202607-0037</x:v>
      </x:c>
      <x:c r="B38" s="11" t="n">
        <x:v>46214</x:v>
      </x:c>
      <x:c r="C38" t="str">
        <x:v>6165</x:v>
      </x:c>
      <x:c r="D38" t="str">
        <x:v>9265</x:v>
      </x:c>
      <x:c r="E38" t="str">
        <x:v>Picnic (Cb)</x:v>
      </x:c>
      <x:c r="F38" t="str">
        <x:v>SWIFT PORK COMPANY</x:v>
      </x:c>
      <x:c r="G38" t="str">
        <x:v>Estados Unidos</x:v>
      </x:c>
      <x:c r="H38" t="str">
        <x:v>fraccion_arancelaria; incoterm; fecha_arribo_estimada; fecha_arribo; dias_transito; naviera; aduana; agente_aduanal; dias_credito_proveedor; fecha_limite_pago; inspeccion</x:v>
      </x:c>
      <x:c r="I38" t="n">
        <x:v>11</x:v>
      </x:c>
    </x:row>
    <x:row r="39">
      <x:c r="A39" t="str">
        <x:v>LOG-202607-0038</x:v>
      </x:c>
      <x:c r="B39" s="11" t="n">
        <x:v>46213</x:v>
      </x:c>
      <x:c r="C39" t="str">
        <x:v>6161</x:v>
      </x:c>
      <x:c r="D39" t="str">
        <x:v>9270</x:v>
      </x:c>
      <x:c r="E39" t="str">
        <x:v>Pierna de Cerdo (Cb)</x:v>
      </x:c>
      <x:c r="F39" t="str">
        <x:v>BMG TRADING</x:v>
      </x:c>
      <x:c r="G39" t="str">
        <x:v>Canadá</x:v>
      </x:c>
      <x:c r="H39" t="str">
        <x:v>fraccion_arancelaria; incoterm; fecha_arribo_estimada; fecha_arribo; dias_transito; naviera; aduana; agente_aduanal; dias_credito_proveedor; fecha_limite_pago</x:v>
      </x:c>
      <x:c r="I39" t="n">
        <x:v>10</x:v>
      </x:c>
    </x:row>
    <x:row r="40">
      <x:c r="A40" t="str">
        <x:v>LOG-202607-0039</x:v>
      </x:c>
      <x:c r="B40" s="11" t="n">
        <x:v>46213</x:v>
      </x:c>
      <x:c r="C40" t="str">
        <x:v>6166</x:v>
      </x:c>
      <x:c r="D40" t="str">
        <x:v>9270</x:v>
      </x:c>
      <x:c r="E40" t="str">
        <x:v>Pierna de Cerdo (Cb)</x:v>
      </x:c>
      <x:c r="F40" t="str">
        <x:v>CANADA PACKERS INC</x:v>
      </x:c>
      <x:c r="G40" t="str">
        <x:v>Canadá</x:v>
      </x:c>
      <x:c r="H40" t="str">
        <x:v>fraccion_arancelaria; incoterm; fecha_arribo_estimada; fecha_arribo; dias_transito; naviera; aduana; agente_aduanal; dias_credito_proveedor; fecha_limite_pago</x:v>
      </x:c>
      <x:c r="I40" t="n">
        <x:v>10</x:v>
      </x:c>
    </x:row>
    <x:row r="41">
      <x:c r="A41" t="str">
        <x:v>LOG-202607-0040</x:v>
      </x:c>
      <x:c r="B41" s="11" t="n">
        <x:v>46213</x:v>
      </x:c>
      <x:c r="C41" t="str">
        <x:v>6164</x:v>
      </x:c>
      <x:c r="D41" t="str">
        <x:v>9128</x:v>
      </x:c>
      <x:c r="E41" t="str">
        <x:v>Buche Crudo Mariposa (Cj)</x:v>
      </x:c>
      <x:c r="F41" t="str">
        <x:v>ESS FOOD</x:v>
      </x:c>
      <x:c r="G41" t="str"/>
      <x:c r="H41" t="str">
        <x:v>pais_origen; fraccion_arancelaria; incoterm; fecha_arribo_estimada; fecha_arribo; dias_transito; naviera; aduana; agente_aduanal; dias_credito_proveedor; fecha_limite_pago; inspeccion</x:v>
      </x:c>
      <x:c r="I41" t="n">
        <x:v>12</x:v>
      </x:c>
    </x:row>
    <x:row r="42">
      <x:c r="A42" t="str">
        <x:v>LOG-202607-0041</x:v>
      </x:c>
      <x:c r="B42" s="11" t="n">
        <x:v>46212</x:v>
      </x:c>
      <x:c r="C42" t="str">
        <x:v>6159</x:v>
      </x:c>
      <x:c r="D42" t="str">
        <x:v>9265</x:v>
      </x:c>
      <x:c r="E42" t="str">
        <x:v>Picnic (Cb)</x:v>
      </x:c>
      <x:c r="F42" t="str">
        <x:v>SWIFT PORK COMPANY</x:v>
      </x:c>
      <x:c r="G42" t="str">
        <x:v>Estados Unidos</x:v>
      </x:c>
      <x:c r="H42" t="str">
        <x:v>fraccion_arancelaria; incoterm; fecha_arribo_estimada; fecha_arribo; dias_transito; naviera; aduana; agente_aduanal; dias_credito_proveedor; fecha_limite_pago; inspeccion</x:v>
      </x:c>
      <x:c r="I42" t="n">
        <x:v>11</x:v>
      </x:c>
    </x:row>
    <x:row r="43">
      <x:c r="A43" t="str">
        <x:v>LOG-202607-0042</x:v>
      </x:c>
      <x:c r="B43" s="11" t="n">
        <x:v>46212</x:v>
      </x:c>
      <x:c r="C43" t="str">
        <x:v>6181</x:v>
      </x:c>
      <x:c r="D43" t="str">
        <x:v>9172</x:v>
      </x:c>
      <x:c r="E43" t="str">
        <x:v>Codillo S/Perico (Cj)</x:v>
      </x:c>
      <x:c r="F43" t="str">
        <x:v>MASTER AGROINDUSTRIAL</x:v>
      </x:c>
      <x:c r="G43" t="str"/>
      <x:c r="H43" t="str">
        <x:v>pais_origen; fraccion_arancelaria; incoterm; fecha_arribo_estimada; fecha_arribo; dias_transito; naviera; aduana; agente_aduanal; dias_credito_proveedor; fecha_limite_pago; inspeccion</x:v>
      </x:c>
      <x:c r="I43" t="n">
        <x:v>12</x:v>
      </x:c>
    </x:row>
    <x:row r="44">
      <x:c r="A44" t="str">
        <x:v>LOG-202607-0043</x:v>
      </x:c>
      <x:c r="B44" s="11" t="n">
        <x:v>46211</x:v>
      </x:c>
      <x:c r="C44" t="str">
        <x:v>6162</x:v>
      </x:c>
      <x:c r="D44" t="str">
        <x:v>9270</x:v>
      </x:c>
      <x:c r="E44" t="str">
        <x:v>Pierna de Cerdo (Cb)</x:v>
      </x:c>
      <x:c r="F44" t="str">
        <x:v>HYLIFE FOODS LP</x:v>
      </x:c>
      <x:c r="G44" t="str">
        <x:v>Canadá</x:v>
      </x:c>
      <x:c r="H44" t="str">
        <x:v>fraccion_arancelaria; incoterm; fecha_arribo_estimada; fecha_arribo; dias_transito; naviera; aduana; agente_aduanal; dias_credito_proveedor; fecha_limite_pago</x:v>
      </x:c>
      <x:c r="I44" t="n">
        <x:v>10</x:v>
      </x:c>
    </x:row>
    <x:row r="45">
      <x:c r="A45" t="str">
        <x:v>LOG-202607-0044</x:v>
      </x:c>
      <x:c r="B45" s="11" t="n">
        <x:v>46211</x:v>
      </x:c>
      <x:c r="C45" t="str">
        <x:v>6157</x:v>
      </x:c>
      <x:c r="D45" t="str">
        <x:v>9176</x:v>
      </x:c>
      <x:c r="E45" t="str">
        <x:v>Corbata A/Vacío (Cj)</x:v>
      </x:c>
      <x:c r="F45" t="str">
        <x:v>G &amp; C FOOD DISTRIBUTORS &amp; BROKERS INC</x:v>
      </x:c>
      <x:c r="G45" t="str">
        <x:v>Estados Unidos</x:v>
      </x:c>
      <x:c r="H45" t="str">
        <x:v>fraccion_arancelaria; incoterm; fecha_arribo_estimada; fecha_arribo; dias_transito; naviera; aduana; agente_aduanal; dias_credito_proveedor; fecha_limite_pago; inspeccion</x:v>
      </x:c>
      <x:c r="I45" t="n">
        <x:v>11</x:v>
      </x:c>
    </x:row>
    <x:row r="46">
      <x:c r="A46" t="str">
        <x:v>LOG-202607-0045</x:v>
      </x:c>
      <x:c r="B46" s="11" t="n">
        <x:v>46211</x:v>
      </x:c>
      <x:c r="C46" t="str">
        <x:v>6158</x:v>
      </x:c>
      <x:c r="D46" t="str">
        <x:v>9175</x:v>
      </x:c>
      <x:c r="E46" t="str">
        <x:v>Corbata A/Regular (Cj)</x:v>
      </x:c>
      <x:c r="F46" t="str">
        <x:v>AJC INTERNATIONAL</x:v>
      </x:c>
      <x:c r="G46" t="str">
        <x:v>Estados Unidos</x:v>
      </x:c>
      <x:c r="H46" t="str">
        <x:v>fraccion_arancelaria; incoterm; fecha_arribo_estimada; fecha_arribo; dias_transito; naviera; aduana; agente_aduanal; dias_credito_proveedor; fecha_limite_pago; inspeccion</x:v>
      </x:c>
      <x:c r="I46" t="n">
        <x:v>11</x:v>
      </x:c>
    </x:row>
    <x:row r="47">
      <x:c r="A47" t="str">
        <x:v>LOG-202607-0046</x:v>
      </x:c>
      <x:c r="B47" s="11" t="n">
        <x:v>46210</x:v>
      </x:c>
      <x:c r="C47" t="str">
        <x:v>6160</x:v>
      </x:c>
      <x:c r="D47" t="str">
        <x:v>9270</x:v>
      </x:c>
      <x:c r="E47" t="str">
        <x:v>Pierna de Cerdo (Cb)</x:v>
      </x:c>
      <x:c r="F47" t="str">
        <x:v>CANADA PACKERS INC</x:v>
      </x:c>
      <x:c r="G47" t="str">
        <x:v>Canadá</x:v>
      </x:c>
      <x:c r="H47" t="str">
        <x:v>fraccion_arancelaria; incoterm; fecha_arribo_estimada; fecha_arribo; dias_transito; naviera; aduana; agente_aduanal; dias_credito_proveedor; fecha_limite_pago</x:v>
      </x:c>
      <x:c r="I47" t="n">
        <x:v>10</x:v>
      </x:c>
    </x:row>
    <x:row r="48">
      <x:c r="A48" t="str">
        <x:v>LOG-202607-0047</x:v>
      </x:c>
      <x:c r="B48" s="11" t="n">
        <x:v>46209</x:v>
      </x:c>
      <x:c r="C48" t="str">
        <x:v>6154</x:v>
      </x:c>
      <x:c r="D48" t="str">
        <x:v>9265</x:v>
      </x:c>
      <x:c r="E48" t="str">
        <x:v>Picnic (Cb)</x:v>
      </x:c>
      <x:c r="F48" t="str">
        <x:v>QUIRCH FOODS</x:v>
      </x:c>
      <x:c r="G48" t="str">
        <x:v>Estados Unidos</x:v>
      </x:c>
      <x:c r="H48" t="str">
        <x:v>fraccion_arancelaria; incoterm; fecha_arribo_estimada; fecha_arribo; dias_transito; naviera; aduana; agente_aduanal; dias_credito_proveedor; fecha_limite_pago; inspeccion</x:v>
      </x:c>
      <x:c r="I48" t="n">
        <x:v>11</x:v>
      </x:c>
    </x:row>
    <x:row r="49">
      <x:c r="A49" t="str">
        <x:v>LOG-202607-0048</x:v>
      </x:c>
      <x:c r="B49" s="11" t="n">
        <x:v>46206</x:v>
      </x:c>
      <x:c r="C49" t="str">
        <x:v>6156</x:v>
      </x:c>
      <x:c r="D49" t="str">
        <x:v>9270</x:v>
      </x:c>
      <x:c r="E49" t="str">
        <x:v>Pierna de Cerdo (Cb)</x:v>
      </x:c>
      <x:c r="F49" t="str">
        <x:v>CANADA PACKERS INC</x:v>
      </x:c>
      <x:c r="G49" t="str">
        <x:v>Canadá</x:v>
      </x:c>
      <x:c r="H49" t="str">
        <x:v>fraccion_arancelaria; incoterm; fecha_arribo_estimada; fecha_arribo; dias_transito; naviera; aduana; agente_aduanal; dias_credito_proveedor; fecha_limite_pago</x:v>
      </x:c>
      <x:c r="I49" t="n">
        <x:v>10</x:v>
      </x:c>
    </x:row>
    <x:row r="50">
      <x:c r="A50" t="str">
        <x:v>LOG-202607-0049</x:v>
      </x:c>
      <x:c r="B50" s="11" t="n">
        <x:v>46204</x:v>
      </x:c>
      <x:c r="C50" t="str">
        <x:v>6153</x:v>
      </x:c>
      <x:c r="D50" t="str">
        <x:v>9128</x:v>
      </x:c>
      <x:c r="E50" t="str">
        <x:v>Buche Crudo Mariposa (Cj)</x:v>
      </x:c>
      <x:c r="F50" t="str">
        <x:v>ESS FOOD</x:v>
      </x:c>
      <x:c r="G50" t="str"/>
      <x:c r="H50" t="str">
        <x:v>pais_origen; fraccion_arancelaria; incoterm; fecha_arribo_estimada; fecha_arribo; dias_transito; naviera; aduana; agente_aduanal; dias_credito_proveedor; fecha_limite_pago; inspeccion</x:v>
      </x:c>
      <x:c r="I50" t="n">
        <x:v>12</x:v>
      </x:c>
    </x:row>
    <x:row r="51">
      <x:c r="A51" t="str">
        <x:v>LOG-202607-0050</x:v>
      </x:c>
      <x:c r="B51" s="11" t="n">
        <x:v>46204</x:v>
      </x:c>
      <x:c r="C51" t="str">
        <x:v>6152</x:v>
      </x:c>
      <x:c r="D51" t="str">
        <x:v>9176</x:v>
      </x:c>
      <x:c r="E51" t="str">
        <x:v>Corbata A/Vacío (Cj)</x:v>
      </x:c>
      <x:c r="F51" t="str">
        <x:v>G &amp; C FOOD DISTRIBUTORS &amp; BROKERS INC</x:v>
      </x:c>
      <x:c r="G51" t="str">
        <x:v>Estados Unidos</x:v>
      </x:c>
      <x:c r="H51" t="str">
        <x:v>incoterm; fecha_arribo_estimada; fecha_arribo; dias_transito; naviera; aduana; agente_aduanal; dias_credito_proveedor; fecha_limite_pago; inspeccion</x:v>
      </x:c>
      <x:c r="I51" t="n">
        <x:v>10</x:v>
      </x:c>
    </x:row>
  </x:sheetData>
  <x:conditionalFormatting sqref="H2:I51">
    <x:cfRule type="notContainsBlanks" dxfId="1" priority="1"/>
  </x:conditionalFormatting>
  <x:pageMargins left="0.7" right="0.7" top="0.75" bottom="0.75" header="0.3" footer="0.3"/>
  <x:tableParts count="1">
    <x:tablePart xmlns:r="http://schemas.openxmlformats.org/officeDocument/2006/relationships" r:id="R3430b0226cd447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0" hidden="0" customWidth="1"/>
  </x:cols>
  <x:sheetData>
    <x:row r="1">
      <x:c r="A1" s="29" t="str">
        <x:v>tipo_compra</x:v>
      </x:c>
      <x:c r="B1" s="29" t="str">
        <x:v>sucursal</x:v>
      </x:c>
      <x:c r="C1" s="29" t="str">
        <x:v>via</x:v>
      </x:c>
      <x:c r="D1" s="29" t="str">
        <x:v>moneda</x:v>
      </x:c>
      <x:c r="E1" s="29" t="str">
        <x:v>incoterm</x:v>
      </x:c>
      <x:c r="F1" s="29" t="str">
        <x:v>inspeccion</x:v>
      </x:c>
      <x:c r="G1" s="29" t="str">
        <x:v>estatus_pago</x:v>
      </x:c>
      <x:c r="H1" s="29" t="str">
        <x:v>estatus_embarque</x:v>
      </x:c>
      <x:c r="I1" s="29" t="str">
        <x:v>estatus_documental</x:v>
      </x:c>
    </x:row>
    <x:row r="2">
      <x:c r="A2" t="str">
        <x:v>Internacional</x:v>
      </x:c>
      <x:c r="B2" t="str">
        <x:v>001 Corralito</x:v>
      </x:c>
      <x:c r="C2" t="str">
        <x:v>Terrestre</x:v>
      </x:c>
      <x:c r="D2" t="str">
        <x:v>MXN</x:v>
      </x:c>
      <x:c r="E2" t="str">
        <x:v>EXW</x:v>
      </x:c>
      <x:c r="F2" t="str">
        <x:v>Con inspección</x:v>
      </x:c>
      <x:c r="G2" t="str">
        <x:v>Pendiente</x:v>
      </x:c>
      <x:c r="H2" t="str">
        <x:v>Programado</x:v>
      </x:c>
      <x:c r="I2" t="str">
        <x:v>Completo</x:v>
      </x:c>
    </x:row>
    <x:row r="3">
      <x:c r="B3" t="str">
        <x:v>002 Granja Calpulalpan</x:v>
      </x:c>
      <x:c r="C3" t="str">
        <x:v>Marítimo</x:v>
      </x:c>
      <x:c r="D3" t="str">
        <x:v>USD</x:v>
      </x:c>
      <x:c r="E3" t="str">
        <x:v>FCA</x:v>
      </x:c>
      <x:c r="F3" t="str">
        <x:v>Sin inspección</x:v>
      </x:c>
      <x:c r="G3" t="str">
        <x:v>Pagado</x:v>
      </x:c>
      <x:c r="H3" t="str">
        <x:v>En tránsito</x:v>
      </x:c>
      <x:c r="I3" t="str">
        <x:v>Pendiente</x:v>
      </x:c>
    </x:row>
    <x:row r="4">
      <x:c r="B4" t="str">
        <x:v>003 Granja Calle 7</x:v>
      </x:c>
      <x:c r="C4" t="str">
        <x:v>Aéreo</x:v>
      </x:c>
      <x:c r="D4" t="str">
        <x:v>CAD</x:v>
      </x:c>
      <x:c r="E4" t="str">
        <x:v>CPT</x:v>
      </x:c>
      <x:c r="F4" t="str">
        <x:v>No aplica</x:v>
      </x:c>
      <x:c r="H4" t="str">
        <x:v>En aduana</x:v>
      </x:c>
    </x:row>
    <x:row r="5">
      <x:c r="D5" t="str">
        <x:v>EUR</x:v>
      </x:c>
      <x:c r="E5" t="str">
        <x:v>CIP</x:v>
      </x:c>
      <x:c r="H5" t="str">
        <x:v>En inspección</x:v>
      </x:c>
    </x:row>
    <x:row r="6">
      <x:c r="E6" t="str">
        <x:v>DAP</x:v>
      </x:c>
      <x:c r="H6" t="str">
        <x:v>Liberado</x:v>
      </x:c>
    </x:row>
    <x:row r="7">
      <x:c r="E7" t="str">
        <x:v>DPU</x:v>
      </x:c>
      <x:c r="H7" t="str">
        <x:v>Recibido</x:v>
      </x:c>
    </x:row>
    <x:row r="8">
      <x:c r="E8" t="str">
        <x:v>DDP</x:v>
      </x:c>
      <x:c r="H8" t="str">
        <x:v>Cancelado</x:v>
      </x:c>
    </x:row>
    <x:row r="9">
      <x:c r="E9" t="str">
        <x:v>FAS</x:v>
      </x:c>
    </x:row>
    <x:row r="10">
      <x:c r="E10" t="str">
        <x:v>FOB</x:v>
      </x:c>
    </x:row>
    <x:row r="11">
      <x:c r="E11" t="str">
        <x:v>CFR</x:v>
      </x:c>
    </x:row>
    <x:row r="12">
      <x:c r="E12" t="str">
        <x:v>CIF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88" hidden="0" customWidth="1"/>
  </x:cols>
  <x:sheetData>
    <x:row r="1">
      <x:c r="A1" s="29" t="str">
        <x:v>Variable</x:v>
      </x:c>
      <x:c r="B1" s="29" t="str">
        <x:v>Tipo</x:v>
      </x:c>
      <x:c r="C1" s="29" t="str">
        <x:v>Obligatoria</x:v>
      </x:c>
      <x:c r="D1" s="29" t="str">
        <x:v>Descripción</x:v>
      </x:c>
    </x:row>
    <x:row r="2">
      <x:c r="A2" s="8" t="str">
        <x:v>movimiento_id</x:v>
      </x:c>
      <x:c r="B2" s="8" t="str">
        <x:v>Texto</x:v>
      </x:c>
      <x:c r="C2" s="8" t="str">
        <x:v>Sí</x:v>
      </x:c>
      <x:c r="D2" s="8" t="str">
        <x:v>Identificador único de cada renglón. Se conserva al actualizar el movimiento.</x:v>
      </x:c>
    </x:row>
    <x:row r="3">
      <x:c r="A3" s="8" t="str">
        <x:v>fecha</x:v>
      </x:c>
      <x:c r="B3" s="8" t="str">
        <x:v>Fecha</x:v>
      </x:c>
      <x:c r="C3" s="8" t="str">
        <x:v>Sí</x:v>
      </x:c>
      <x:c r="D3" s="8" t="str">
        <x:v>Fecha de salida o registro del movimiento; alimenta filtros de año, mes, semana y día.</x:v>
      </x:c>
    </x:row>
    <x:row r="4">
      <x:c r="A4" s="8" t="str">
        <x:v>anio</x:v>
      </x:c>
      <x:c r="B4" s="8" t="str">
        <x:v>Calculada</x:v>
      </x:c>
      <x:c r="C4" s="8" t="str">
        <x:v>No</x:v>
      </x:c>
      <x:c r="D4" s="8" t="str">
        <x:v>Año calculado desde fecha.</x:v>
      </x:c>
    </x:row>
    <x:row r="5">
      <x:c r="A5" s="8" t="str">
        <x:v>mes</x:v>
      </x:c>
      <x:c r="B5" s="8" t="str">
        <x:v>Calculada</x:v>
      </x:c>
      <x:c r="C5" s="8" t="str">
        <x:v>No</x:v>
      </x:c>
      <x:c r="D5" s="8" t="str">
        <x:v>Periodo AAAA-MM calculado desde fecha.</x:v>
      </x:c>
    </x:row>
    <x:row r="6">
      <x:c r="A6" s="8" t="str">
        <x:v>semana</x:v>
      </x:c>
      <x:c r="B6" s="8" t="str">
        <x:v>Calculada</x:v>
      </x:c>
      <x:c r="C6" s="8" t="str">
        <x:v>No</x:v>
      </x:c>
      <x:c r="D6" s="8" t="str">
        <x:v>Semana calculada desde fecha.</x:v>
      </x:c>
    </x:row>
    <x:row r="7">
      <x:c r="A7" s="8" t="str">
        <x:v>renglon_id</x:v>
      </x:c>
      <x:c r="B7" s="8" t="str">
        <x:v>Texto</x:v>
      </x:c>
      <x:c r="C7" s="8" t="str">
        <x:v>No</x:v>
      </x:c>
      <x:c r="D7" s="8" t="str">
        <x:v>Rastro del renglón original.</x:v>
      </x:c>
    </x:row>
    <x:row r="8">
      <x:c r="A8" s="8" t="str">
        <x:v>embarque_id</x:v>
      </x:c>
      <x:c r="B8" s="8" t="str">
        <x:v>Texto</x:v>
      </x:c>
      <x:c r="C8" s="8" t="str">
        <x:v>Sí</x:v>
      </x:c>
      <x:c r="D8" s="8" t="str">
        <x:v>Folio de la carga; puede repetirse cuando una carga contiene varios productos.</x:v>
      </x:c>
    </x:row>
    <x:row r="9">
      <x:c r="A9" s="8" t="str">
        <x:v>codigo</x:v>
      </x:c>
      <x:c r="B9" s="8" t="str">
        <x:v>Texto</x:v>
      </x:c>
      <x:c r="C9" s="8" t="str">
        <x:v>Sí</x:v>
      </x:c>
      <x:c r="D9" s="8" t="str">
        <x:v>Código SAP/SKU.</x:v>
      </x:c>
    </x:row>
    <x:row r="10">
      <x:c r="A10" s="8" t="str">
        <x:v>producto</x:v>
      </x:c>
      <x:c r="B10" s="8" t="str">
        <x:v>Texto</x:v>
      </x:c>
      <x:c r="C10" s="8" t="str">
        <x:v>Sí</x:v>
      </x:c>
      <x:c r="D10" s="8" t="str">
        <x:v>Nombre del producto.</x:v>
      </x:c>
    </x:row>
    <x:row r="11">
      <x:c r="A11" s="8" t="str">
        <x:v>categoria</x:v>
      </x:c>
      <x:c r="B11" s="8" t="str">
        <x:v>Texto</x:v>
      </x:c>
      <x:c r="C11" s="8" t="str">
        <x:v>No</x:v>
      </x:c>
      <x:c r="D11" s="8" t="str">
        <x:v>Familia o categoría del producto.</x:v>
      </x:c>
    </x:row>
    <x:row r="12">
      <x:c r="A12" s="8" t="str">
        <x:v>sucursal</x:v>
      </x:c>
      <x:c r="B12" s="8" t="str">
        <x:v>Texto</x:v>
      </x:c>
      <x:c r="C12" s="8" t="str">
        <x:v>Sí</x:v>
      </x:c>
      <x:c r="D12" s="8" t="str">
        <x:v>Sucursal receptora.</x:v>
      </x:c>
    </x:row>
    <x:row r="13">
      <x:c r="A13" s="8" t="str">
        <x:v>tipo_compra</x:v>
      </x:c>
      <x:c r="B13" s="8" t="str">
        <x:v>Texto</x:v>
      </x:c>
      <x:c r="C13" s="8" t="str">
        <x:v>Sí</x:v>
      </x:c>
      <x:c r="D13" s="8" t="str">
        <x:v>Debe ser Internacional en esta base.</x:v>
      </x:c>
    </x:row>
    <x:row r="14">
      <x:c r="A14" s="8" t="str">
        <x:v>pais_origen</x:v>
      </x:c>
      <x:c r="B14" s="8" t="str">
        <x:v>Texto</x:v>
      </x:c>
      <x:c r="C14" s="8" t="str">
        <x:v>Sí</x:v>
      </x:c>
      <x:c r="D14" s="8" t="str">
        <x:v>País desde donde se embarca.</x:v>
      </x:c>
    </x:row>
    <x:row r="15">
      <x:c r="A15" s="8" t="str">
        <x:v>proveedor</x:v>
      </x:c>
      <x:c r="B15" s="8" t="str">
        <x:v>Texto</x:v>
      </x:c>
      <x:c r="C15" s="8" t="str">
        <x:v>Sí</x:v>
      </x:c>
      <x:c r="D15" s="8" t="str">
        <x:v>Proveedor de mercancía.</x:v>
      </x:c>
    </x:row>
    <x:row r="16">
      <x:c r="A16" s="8" t="str">
        <x:v>factura</x:v>
      </x:c>
      <x:c r="B16" s="8" t="str">
        <x:v>Texto</x:v>
      </x:c>
      <x:c r="C16" s="8" t="str">
        <x:v>No</x:v>
      </x:c>
      <x:c r="D16" s="8" t="str">
        <x:v>Factura como texto para conservar ceros.</x:v>
      </x:c>
    </x:row>
    <x:row r="17">
      <x:c r="A17" s="8" t="str">
        <x:v>orden_compra</x:v>
      </x:c>
      <x:c r="B17" s="8" t="str">
        <x:v>Texto</x:v>
      </x:c>
      <x:c r="C17" s="8" t="str">
        <x:v>No</x:v>
      </x:c>
      <x:c r="D17" s="8" t="str">
        <x:v>Orden de compra como texto.</x:v>
      </x:c>
    </x:row>
    <x:row r="18">
      <x:c r="A18" s="8" t="str">
        <x:v>kilos</x:v>
      </x:c>
      <x:c r="B18" s="8" t="str">
        <x:v>Número</x:v>
      </x:c>
      <x:c r="C18" s="8" t="str">
        <x:v>Sí</x:v>
      </x:c>
      <x:c r="D18" s="8" t="str">
        <x:v>Peso de la línea de producto.</x:v>
      </x:c>
    </x:row>
    <x:row r="19">
      <x:c r="A19" s="8" t="str">
        <x:v>valor_importado</x:v>
      </x:c>
      <x:c r="B19" s="8" t="str">
        <x:v>Número</x:v>
      </x:c>
      <x:c r="C19" s="8" t="str">
        <x:v>Sí</x:v>
      </x:c>
      <x:c r="D19" s="8" t="str">
        <x:v>Valor de mercancía de la línea.</x:v>
      </x:c>
    </x:row>
    <x:row r="20">
      <x:c r="A20" s="8" t="str">
        <x:v>moneda</x:v>
      </x:c>
      <x:c r="B20" s="8" t="str">
        <x:v>Texto</x:v>
      </x:c>
      <x:c r="C20" s="8" t="str">
        <x:v>Sí</x:v>
      </x:c>
      <x:c r="D20" s="8" t="str">
        <x:v>Moneda del importe.</x:v>
      </x:c>
    </x:row>
    <x:row r="21">
      <x:c r="A21" s="8" t="str">
        <x:v>tipo_cambio</x:v>
      </x:c>
      <x:c r="B21" s="8" t="str">
        <x:v>Número</x:v>
      </x:c>
      <x:c r="C21" s="8" t="str">
        <x:v>No</x:v>
      </x:c>
      <x:c r="D21" s="8" t="str">
        <x:v>Tipo de cambio aplicado; 1 cuando los importes ya están en MXN.</x:v>
      </x:c>
    </x:row>
    <x:row r="22">
      <x:c r="A22" s="8" t="str">
        <x:v>fecha_arribo_estimada</x:v>
      </x:c>
      <x:c r="B22" s="8" t="str">
        <x:v>Fecha</x:v>
      </x:c>
      <x:c r="C22" s="8" t="str">
        <x:v>No</x:v>
      </x:c>
      <x:c r="D22" s="8" t="str">
        <x:v>Fecha planeada de llegada.</x:v>
      </x:c>
    </x:row>
    <x:row r="23">
      <x:c r="A23" s="8" t="str">
        <x:v>fecha_arribo</x:v>
      </x:c>
      <x:c r="B23" s="8" t="str">
        <x:v>Fecha</x:v>
      </x:c>
      <x:c r="C23" s="8" t="str">
        <x:v>No</x:v>
      </x:c>
      <x:c r="D23" s="8" t="str">
        <x:v>Fecha real de llegada.</x:v>
      </x:c>
    </x:row>
    <x:row r="24">
      <x:c r="A24" s="8" t="str">
        <x:v>dias_transito</x:v>
      </x:c>
      <x:c r="B24" s="8" t="str">
        <x:v>Calculada</x:v>
      </x:c>
      <x:c r="C24" s="8" t="str">
        <x:v>No</x:v>
      </x:c>
      <x:c r="D24" s="8" t="str">
        <x:v>Días calculados entre salida y arribo.</x:v>
      </x:c>
    </x:row>
    <x:row r="25">
      <x:c r="A25" s="8" t="str">
        <x:v>naviera</x:v>
      </x:c>
      <x:c r="B25" s="8" t="str">
        <x:v>Texto</x:v>
      </x:c>
      <x:c r="C25" s="8" t="str">
        <x:v>No</x:v>
      </x:c>
      <x:c r="D25" s="8" t="str">
        <x:v>Naviera o transportista terrestre.</x:v>
      </x:c>
    </x:row>
    <x:row r="26">
      <x:c r="A26" s="8" t="str">
        <x:v>via</x:v>
      </x:c>
      <x:c r="B26" s="8" t="str">
        <x:v>Texto</x:v>
      </x:c>
      <x:c r="C26" s="8" t="str">
        <x:v>Sí</x:v>
      </x:c>
      <x:c r="D26" s="8" t="str">
        <x:v>Terrestre, Marítimo o Aéreo.</x:v>
      </x:c>
    </x:row>
    <x:row r="27">
      <x:c r="A27" s="8" t="str">
        <x:v>aduana</x:v>
      </x:c>
      <x:c r="B27" s="8" t="str">
        <x:v>Texto</x:v>
      </x:c>
      <x:c r="C27" s="8" t="str">
        <x:v>No</x:v>
      </x:c>
      <x:c r="D27" s="8" t="str">
        <x:v>Aduana o punto de cruce.</x:v>
      </x:c>
    </x:row>
    <x:row r="28">
      <x:c r="A28" s="8" t="str">
        <x:v>agente_aduanal</x:v>
      </x:c>
      <x:c r="B28" s="8" t="str">
        <x:v>Texto</x:v>
      </x:c>
      <x:c r="C28" s="8" t="str">
        <x:v>No</x:v>
      </x:c>
      <x:c r="D28" s="8" t="str">
        <x:v>Agente o agencia responsable.</x:v>
      </x:c>
    </x:row>
    <x:row r="29">
      <x:c r="A29" s="8" t="str">
        <x:v>fecha_entrada_aduana</x:v>
      </x:c>
      <x:c r="B29" s="8" t="str">
        <x:v>Fecha</x:v>
      </x:c>
      <x:c r="C29" s="8" t="str">
        <x:v>No</x:v>
      </x:c>
      <x:c r="D29" s="8" t="str">
        <x:v>Ingreso a control aduanal.</x:v>
      </x:c>
    </x:row>
    <x:row r="30">
      <x:c r="A30" s="8" t="str">
        <x:v>fecha_liberacion_aduana</x:v>
      </x:c>
      <x:c r="B30" s="8" t="str">
        <x:v>Fecha</x:v>
      </x:c>
      <x:c r="C30" s="8" t="str">
        <x:v>No</x:v>
      </x:c>
      <x:c r="D30" s="8" t="str">
        <x:v>Liberación de aduana.</x:v>
      </x:c>
    </x:row>
    <x:row r="31">
      <x:c r="A31" s="8" t="str">
        <x:v>dias_en_aduana</x:v>
      </x:c>
      <x:c r="B31" s="8" t="str">
        <x:v>Calculada</x:v>
      </x:c>
      <x:c r="C31" s="8" t="str">
        <x:v>No</x:v>
      </x:c>
      <x:c r="D31" s="8" t="str">
        <x:v>Días calculados en aduana.</x:v>
      </x:c>
    </x:row>
    <x:row r="32">
      <x:c r="A32" s="8" t="str">
        <x:v>fraccion_arancelaria</x:v>
      </x:c>
      <x:c r="B32" s="8" t="str">
        <x:v>Texto</x:v>
      </x:c>
      <x:c r="C32" s="8" t="str">
        <x:v>Sí</x:v>
      </x:c>
      <x:c r="D32" s="8" t="str">
        <x:v>Fracción arancelaria como texto.</x:v>
      </x:c>
    </x:row>
    <x:row r="33">
      <x:c r="A33" s="8" t="str">
        <x:v>incoterm</x:v>
      </x:c>
      <x:c r="B33" s="8" t="str">
        <x:v>Texto</x:v>
      </x:c>
      <x:c r="C33" s="8" t="str">
        <x:v>Sí</x:v>
      </x:c>
      <x:c r="D33" s="8" t="str">
        <x:v>Término de venta.</x:v>
      </x:c>
    </x:row>
    <x:row r="34">
      <x:c r="A34" s="8" t="str">
        <x:v>dias_credito_proveedor</x:v>
      </x:c>
      <x:c r="B34" s="8" t="str">
        <x:v>Texto</x:v>
      </x:c>
      <x:c r="C34" s="8" t="str">
        <x:v>No</x:v>
      </x:c>
      <x:c r="D34" s="8" t="str">
        <x:v>Días de crédito otorgados.</x:v>
      </x:c>
    </x:row>
    <x:row r="35">
      <x:c r="A35" s="8" t="str">
        <x:v>fecha_limite_pago</x:v>
      </x:c>
      <x:c r="B35" s="8" t="str">
        <x:v>Fecha</x:v>
      </x:c>
      <x:c r="C35" s="8" t="str">
        <x:v>No</x:v>
      </x:c>
      <x:c r="D35" s="8" t="str">
        <x:v>Vencimiento calculado desde fecha + crédito.</x:v>
      </x:c>
    </x:row>
    <x:row r="36">
      <x:c r="A36" s="8" t="str">
        <x:v>inspeccion</x:v>
      </x:c>
      <x:c r="B36" s="8" t="str">
        <x:v>Texto</x:v>
      </x:c>
      <x:c r="C36" s="8" t="str">
        <x:v>Sí</x:v>
      </x:c>
      <x:c r="D36" s="8" t="str">
        <x:v>EE. UU.: Con/Sin inspección; otros países: No aplica.</x:v>
      </x:c>
    </x:row>
    <x:row r="37">
      <x:c r="A37" s="8" t="str">
        <x:v>estatus_pago</x:v>
      </x:c>
      <x:c r="B37" s="8" t="str">
        <x:v>Texto</x:v>
      </x:c>
      <x:c r="C37" s="8" t="str">
        <x:v>No</x:v>
      </x:c>
      <x:c r="D37" s="8" t="str">
        <x:v>Estado del pago.</x:v>
      </x:c>
    </x:row>
    <x:row r="38">
      <x:c r="A38" s="8" t="str">
        <x:v>estatus_embarque</x:v>
      </x:c>
      <x:c r="B38" s="8" t="str">
        <x:v>Texto</x:v>
      </x:c>
      <x:c r="C38" s="8" t="str">
        <x:v>Sí</x:v>
      </x:c>
      <x:c r="D38" s="8" t="str">
        <x:v>Situación operativa de la carga.</x:v>
      </x:c>
    </x:row>
    <x:row r="39">
      <x:c r="A39" s="8" t="str">
        <x:v>estatus_documental</x:v>
      </x:c>
      <x:c r="B39" s="8" t="str">
        <x:v>Texto</x:v>
      </x:c>
      <x:c r="C39" s="8" t="str">
        <x:v>No</x:v>
      </x:c>
      <x:c r="D39" s="8" t="str">
        <x:v>Completo o Pendiente.</x:v>
      </x:c>
    </x:row>
    <x:row r="40">
      <x:c r="A40" s="8" t="str">
        <x:v>documentos_pendientes</x:v>
      </x:c>
      <x:c r="B40" s="8" t="str">
        <x:v>Texto</x:v>
      </x:c>
      <x:c r="C40" s="8" t="str">
        <x:v>No</x:v>
      </x:c>
      <x:c r="D40" s="8" t="str">
        <x:v>Documentos faltantes separados por punto y coma.</x:v>
      </x:c>
    </x:row>
    <x:row r="41">
      <x:c r="A41" s="8" t="str">
        <x:v>responsable</x:v>
      </x:c>
      <x:c r="B41" s="8" t="str">
        <x:v>Texto</x:v>
      </x:c>
      <x:c r="C41" s="8" t="str">
        <x:v>No</x:v>
      </x:c>
      <x:c r="D41" s="8" t="str">
        <x:v>Área o persona asignada; no es obligatorio.</x:v>
      </x:c>
    </x:row>
    <x:row r="42">
      <x:c r="A42" s="8" t="str">
        <x:v>pedimento</x:v>
      </x:c>
      <x:c r="B42" s="8" t="str">
        <x:v>Texto</x:v>
      </x:c>
      <x:c r="C42" s="8" t="str">
        <x:v>No</x:v>
      </x:c>
      <x:c r="D42" s="8" t="str">
        <x:v>Pedimento como texto.</x:v>
      </x:c>
    </x:row>
    <x:row r="43">
      <x:c r="A43" s="8" t="str">
        <x:v>contenedor</x:v>
      </x:c>
      <x:c r="B43" s="8" t="str">
        <x:v>Texto</x:v>
      </x:c>
      <x:c r="C43" s="8" t="str">
        <x:v>No</x:v>
      </x:c>
      <x:c r="D43" s="8" t="str">
        <x:v>Contenedor, caja o unidad.</x:v>
      </x:c>
    </x:row>
    <x:row r="44">
      <x:c r="A44" s="8" t="str">
        <x:v>demoras_dias</x:v>
      </x:c>
      <x:c r="B44" s="8" t="str">
        <x:v>Texto</x:v>
      </x:c>
      <x:c r="C44" s="8" t="str">
        <x:v>No</x:v>
      </x:c>
      <x:c r="D44" s="8" t="str">
        <x:v>Días de demora.</x:v>
      </x:c>
    </x:row>
    <x:row r="45">
      <x:c r="A45" s="8" t="str">
        <x:v>monto_pagado</x:v>
      </x:c>
      <x:c r="B45" s="8" t="str">
        <x:v>Número</x:v>
      </x:c>
      <x:c r="C45" s="8" t="str">
        <x:v>No</x:v>
      </x:c>
      <x:c r="D45" s="8" t="str">
        <x:v>Importe pagado.</x:v>
      </x:c>
    </x:row>
    <x:row r="46">
      <x:c r="A46" s="8" t="str">
        <x:v>saldo_pendiente</x:v>
      </x:c>
      <x:c r="B46" s="8" t="str">
        <x:v>Número</x:v>
      </x:c>
      <x:c r="C46" s="8" t="str">
        <x:v>No</x:v>
      </x:c>
      <x:c r="D46" s="8" t="str">
        <x:v>Valor importado menos monto pagado.</x:v>
      </x:c>
    </x:row>
    <x:row r="47">
      <x:c r="A47" s="8" t="str">
        <x:v>gasto_logistico</x:v>
      </x:c>
      <x:c r="B47" s="8" t="str">
        <x:v>Número</x:v>
      </x:c>
      <x:c r="C47" s="8" t="str">
        <x:v>No</x:v>
      </x:c>
      <x:c r="D47" s="8" t="str">
        <x:v>Gasto logístico asignado a la línea.</x:v>
      </x:c>
    </x:row>
    <x:row r="48">
      <x:c r="A48" s="8" t="str">
        <x:v>costo_flete</x:v>
      </x:c>
      <x:c r="B48" s="8" t="str">
        <x:v>Número</x:v>
      </x:c>
      <x:c r="C48" s="8" t="str">
        <x:v>No</x:v>
      </x:c>
      <x:c r="D48" s="8" t="str">
        <x:v>Componente de flete.</x:v>
      </x:c>
    </x:row>
    <x:row r="49">
      <x:c r="A49" s="8" t="str">
        <x:v>costo_aduanal</x:v>
      </x:c>
      <x:c r="B49" s="8" t="str">
        <x:v>Número</x:v>
      </x:c>
      <x:c r="C49" s="8" t="str">
        <x:v>No</x:v>
      </x:c>
      <x:c r="D49" s="8" t="str">
        <x:v>Componente de aduana.</x:v>
      </x:c>
    </x:row>
    <x:row r="50">
      <x:c r="A50" s="8" t="str">
        <x:v>costo_seguro</x:v>
      </x:c>
      <x:c r="B50" s="8" t="str">
        <x:v>Número</x:v>
      </x:c>
      <x:c r="C50" s="8" t="str">
        <x:v>No</x:v>
      </x:c>
      <x:c r="D50" s="8" t="str">
        <x:v>Componente de seguro.</x:v>
      </x:c>
    </x:row>
    <x:row r="51">
      <x:c r="A51" s="8" t="str">
        <x:v>costo_demoras</x:v>
      </x:c>
      <x:c r="B51" s="8" t="str">
        <x:v>Número</x:v>
      </x:c>
      <x:c r="C51" s="8" t="str">
        <x:v>No</x:v>
      </x:c>
      <x:c r="D51" s="8" t="str">
        <x:v>Costo de demoras.</x:v>
      </x:c>
    </x:row>
    <x:row r="52">
      <x:c r="A52" s="8" t="str">
        <x:v>costo_total</x:v>
      </x:c>
      <x:c r="B52" s="8" t="str">
        <x:v>Número</x:v>
      </x:c>
      <x:c r="C52" s="8" t="str">
        <x:v>No</x:v>
      </x:c>
      <x:c r="D52" s="8" t="str">
        <x:v>Valor importado + gasto logístico.</x:v>
      </x:c>
    </x:row>
    <x:row r="53">
      <x:c r="A53" s="8" t="str">
        <x:v>costo_final_kg</x:v>
      </x:c>
      <x:c r="B53" s="8" t="str">
        <x:v>Número</x:v>
      </x:c>
      <x:c r="C53" s="8" t="str">
        <x:v>No</x:v>
      </x:c>
      <x:c r="D53" s="8" t="str">
        <x:v>Costo total / kilos.</x:v>
      </x:c>
    </x:row>
    <x:row r="54">
      <x:c r="A54" s="8" t="str">
        <x:v>precio_venta</x:v>
      </x:c>
      <x:c r="B54" s="8" t="str">
        <x:v>Número</x:v>
      </x:c>
      <x:c r="C54" s="8" t="str">
        <x:v>No</x:v>
      </x:c>
      <x:c r="D54" s="8" t="str">
        <x:v>Precio de venta por kilo.</x:v>
      </x:c>
    </x:row>
    <x:row r="55">
      <x:c r="A55" s="8" t="str">
        <x:v>ventas</x:v>
      </x:c>
      <x:c r="B55" s="8" t="str">
        <x:v>Número</x:v>
      </x:c>
      <x:c r="C55" s="8" t="str">
        <x:v>No</x:v>
      </x:c>
      <x:c r="D55" s="8" t="str">
        <x:v>Precio de venta × kilos.</x:v>
      </x:c>
    </x:row>
    <x:row r="56">
      <x:c r="A56" s="8" t="str">
        <x:v>ganancia</x:v>
      </x:c>
      <x:c r="B56" s="8" t="str">
        <x:v>Número</x:v>
      </x:c>
      <x:c r="C56" s="8" t="str">
        <x:v>No</x:v>
      </x:c>
      <x:c r="D56" s="8" t="str">
        <x:v>Ventas − costo total.</x:v>
      </x:c>
    </x:row>
    <x:row r="57">
      <x:c r="A57" s="8" t="str">
        <x:v>margen_por_kg</x:v>
      </x:c>
      <x:c r="B57" s="8" t="str">
        <x:v>Número</x:v>
      </x:c>
      <x:c r="C57" s="8" t="str">
        <x:v>No</x:v>
      </x:c>
      <x:c r="D57" s="8" t="str">
        <x:v>Precio de venta − costo final por kilo.</x:v>
      </x:c>
    </x:row>
    <x:row r="58">
      <x:c r="A58" s="8" t="str">
        <x:v>margen_pct</x:v>
      </x:c>
      <x:c r="B58" s="8" t="str">
        <x:v>Calculada</x:v>
      </x:c>
      <x:c r="C58" s="8" t="str">
        <x:v>No</x:v>
      </x:c>
      <x:c r="D58" s="8" t="str">
        <x:v>Ganancia / ventas.</x:v>
      </x:c>
    </x:row>
    <x:row r="59">
      <x:c r="A59" s="8" t="str">
        <x:v>temperatura_salida</x:v>
      </x:c>
      <x:c r="B59" s="8" t="str">
        <x:v>Número</x:v>
      </x:c>
      <x:c r="C59" s="8" t="str">
        <x:v>No</x:v>
      </x:c>
      <x:c r="D59" s="8" t="str">
        <x:v>Campo de trazabilidad proveniente de SAP o de la base original.</x:v>
      </x:c>
    </x:row>
    <x:row r="60">
      <x:c r="A60" s="8" t="str">
        <x:v>temperatura_llegada</x:v>
      </x:c>
      <x:c r="B60" s="8" t="str">
        <x:v>Número</x:v>
      </x:c>
      <x:c r="C60" s="8" t="str">
        <x:v>No</x:v>
      </x:c>
      <x:c r="D60" s="8" t="str">
        <x:v>Campo de trazabilidad proveniente de SAP o de la base original.</x:v>
      </x:c>
    </x:row>
    <x:row r="61">
      <x:c r="A61" s="8" t="str">
        <x:v>incidencia</x:v>
      </x:c>
      <x:c r="B61" s="8" t="str">
        <x:v>Texto</x:v>
      </x:c>
      <x:c r="C61" s="8" t="str">
        <x:v>No</x:v>
      </x:c>
      <x:c r="D61" s="8" t="str">
        <x:v>Campo de trazabilidad proveniente de SAP o de la base original.</x:v>
      </x:c>
    </x:row>
    <x:row r="62">
      <x:c r="A62" s="8" t="str">
        <x:v>latitud</x:v>
      </x:c>
      <x:c r="B62" s="8" t="str">
        <x:v>Número</x:v>
      </x:c>
      <x:c r="C62" s="8" t="str">
        <x:v>No</x:v>
      </x:c>
      <x:c r="D62" s="8" t="str">
        <x:v>Campo de trazabilidad proveniente de SAP o de la base original.</x:v>
      </x:c>
    </x:row>
    <x:row r="63">
      <x:c r="A63" s="8" t="str">
        <x:v>longitud</x:v>
      </x:c>
      <x:c r="B63" s="8" t="str">
        <x:v>Número</x:v>
      </x:c>
      <x:c r="C63" s="8" t="str">
        <x:v>No</x:v>
      </x:c>
      <x:c r="D63" s="8" t="str">
        <x:v>Campo de trazabilidad proveniente de SAP o de la base original.</x:v>
      </x:c>
    </x:row>
    <x:row r="64">
      <x:c r="A64" s="8" t="str">
        <x:v>completitud_pct</x:v>
      </x:c>
      <x:c r="B64" s="8" t="str">
        <x:v>Calculada</x:v>
      </x:c>
      <x:c r="C64" s="8" t="str">
        <x:v>No</x:v>
      </x:c>
      <x:c r="D64" s="8" t="str">
        <x:v>Porcentaje de campos esenciales capturados.</x:v>
      </x:c>
    </x:row>
    <x:row r="65">
      <x:c r="A65" s="8" t="str">
        <x:v>alerta_calidad</x:v>
      </x:c>
      <x:c r="B65" s="8" t="str">
        <x:v>Calculada</x:v>
      </x:c>
      <x:c r="C65" s="8" t="str">
        <x:v>No</x:v>
      </x:c>
      <x:c r="D65" s="8" t="str">
        <x:v>Primer dato esencial faltante detectado.</x:v>
      </x:c>
    </x:row>
    <x:row r="66">
      <x:c r="A66" s="8" t="str">
        <x:v>almacen</x:v>
      </x:c>
      <x:c r="B66" s="8" t="str">
        <x:v>Texto</x:v>
      </x:c>
      <x:c r="C66" s="8" t="str">
        <x:v>No</x:v>
      </x:c>
      <x:c r="D66" s="8" t="str">
        <x:v>Campo de trazabilidad proveniente de SAP o de la base original.</x:v>
      </x:c>
    </x:row>
    <x:row r="67">
      <x:c r="A67" s="8" t="str">
        <x:v>linea</x:v>
      </x:c>
      <x:c r="B67" s="8" t="str">
        <x:v>Texto</x:v>
      </x:c>
      <x:c r="C67" s="8" t="str">
        <x:v>No</x:v>
      </x:c>
      <x:c r="D67" s="8" t="str">
        <x:v>Campo de trazabilidad proveniente de SAP o de la base original.</x:v>
      </x:c>
    </x:row>
    <x:row r="68">
      <x:c r="A68" s="8" t="str">
        <x:v>sublinea</x:v>
      </x:c>
      <x:c r="B68" s="8" t="str">
        <x:v>Texto</x:v>
      </x:c>
      <x:c r="C68" s="8" t="str">
        <x:v>No</x:v>
      </x:c>
      <x:c r="D68" s="8" t="str">
        <x:v>Campo de trazabilidad proveniente de SAP o de la base original.</x:v>
      </x:c>
    </x:row>
    <x:row r="69">
      <x:c r="A69" s="8" t="str">
        <x:v>subsublínea</x:v>
      </x:c>
      <x:c r="B69" s="8" t="str">
        <x:v>Texto</x:v>
      </x:c>
      <x:c r="C69" s="8" t="str">
        <x:v>No</x:v>
      </x:c>
      <x:c r="D69" s="8" t="str">
        <x:v>Campo de trazabilidad proveniente de SAP o de la base original.</x:v>
      </x:c>
    </x:row>
    <x:row r="70">
      <x:c r="A70" s="8" t="str">
        <x:v>cantidad</x:v>
      </x:c>
      <x:c r="B70" s="8" t="str">
        <x:v>Número</x:v>
      </x:c>
      <x:c r="C70" s="8" t="str">
        <x:v>No</x:v>
      </x:c>
      <x:c r="D70" s="8" t="str">
        <x:v>Campo de trazabilidad proveniente de SAP o de la base original.</x:v>
      </x:c>
    </x:row>
    <x:row r="71">
      <x:c r="A71" s="8" t="str">
        <x:v>unidad</x:v>
      </x:c>
      <x:c r="B71" s="8" t="str">
        <x:v>Texto</x:v>
      </x:c>
      <x:c r="C71" s="8" t="str">
        <x:v>No</x:v>
      </x:c>
      <x:c r="D71" s="8" t="str">
        <x:v>Campo de trazabilidad proveniente de SAP o de la base original.</x:v>
      </x:c>
    </x:row>
    <x:row r="72">
      <x:c r="A72" s="8" t="str">
        <x:v>factor</x:v>
      </x:c>
      <x:c r="B72" s="8" t="str">
        <x:v>Número</x:v>
      </x:c>
      <x:c r="C72" s="8" t="str">
        <x:v>No</x:v>
      </x:c>
      <x:c r="D72" s="8" t="str">
        <x:v>Campo de trazabilidad proveniente de SAP o de la base original.</x:v>
      </x:c>
    </x:row>
    <x:row r="73">
      <x:c r="A73" s="8" t="str">
        <x:v>precio_unitario</x:v>
      </x:c>
      <x:c r="B73" s="8" t="str">
        <x:v>Número</x:v>
      </x:c>
      <x:c r="C73" s="8" t="str">
        <x:v>No</x:v>
      </x:c>
      <x:c r="D73" s="8" t="str">
        <x:v>Campo de trazabilidad proveniente de SAP o de la base original.</x:v>
      </x:c>
    </x:row>
    <x:row r="74">
      <x:c r="A74" s="8" t="str">
        <x:v>total_compra</x:v>
      </x:c>
      <x:c r="B74" s="8" t="str">
        <x:v>Número</x:v>
      </x:c>
      <x:c r="C74" s="8" t="str">
        <x:v>No</x:v>
      </x:c>
      <x:c r="D74" s="8" t="str">
        <x:v>Campo de trazabilidad proveniente de SAP o de la base original.</x:v>
      </x:c>
    </x:row>
  </x:sheetData>
  <x:conditionalFormatting sqref="C2:C74">
    <x:cfRule type="containsText" dxfId="2" priority="1" operator="containsText" text="Sí"/>
  </x:conditionalFormatting>
  <x:pageMargins left="0.7" right="0.7" top="0.75" bottom="0.75" header="0.3" footer="0.3"/>
</x:worksheet>
</file>